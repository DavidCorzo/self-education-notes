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__Me-Youtube-Cursos___\Statistics 101\"/>
    </mc:Choice>
  </mc:AlternateContent>
  <xr:revisionPtr revIDLastSave="0" documentId="13_ncr:1_{86822B8A-79DC-4041-8443-491CEF2A0EE8}" xr6:coauthVersionLast="45" xr6:coauthVersionMax="45" xr10:uidLastSave="{00000000-0000-0000-0000-000000000000}"/>
  <bookViews>
    <workbookView xWindow="14070" yWindow="660" windowWidth="14100" windowHeight="14640" xr2:uid="{C4F2D281-BBC2-46CA-ACF5-C186C5CDD6DE}"/>
  </bookViews>
  <sheets>
    <sheet name="Sheet1 (3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9" i="3" l="1"/>
  <c r="L27" i="3"/>
  <c r="L26" i="3"/>
  <c r="L24" i="3"/>
  <c r="L21" i="3"/>
  <c r="L15" i="3"/>
  <c r="L13" i="3"/>
  <c r="L11" i="3"/>
  <c r="L10" i="3"/>
  <c r="L9" i="3"/>
  <c r="L8" i="3"/>
  <c r="L4" i="3"/>
  <c r="L2" i="3"/>
  <c r="L1" i="3"/>
  <c r="H23" i="3"/>
  <c r="H22" i="3"/>
  <c r="H21" i="3"/>
  <c r="H20" i="3"/>
  <c r="I17" i="3"/>
  <c r="H17" i="3"/>
  <c r="G17" i="3"/>
  <c r="F17" i="3"/>
  <c r="I11" i="3"/>
  <c r="I10" i="3"/>
  <c r="I9" i="3"/>
  <c r="I8" i="3"/>
  <c r="I7" i="3"/>
  <c r="I6" i="3"/>
  <c r="I5" i="3"/>
  <c r="I4" i="3"/>
  <c r="H4" i="3"/>
  <c r="G2" i="3"/>
  <c r="H2" i="3"/>
  <c r="I2" i="3"/>
  <c r="G3" i="3"/>
  <c r="H3" i="3"/>
  <c r="I3" i="3"/>
  <c r="G4" i="3"/>
  <c r="G5" i="3"/>
  <c r="H5" i="3"/>
  <c r="G6" i="3"/>
  <c r="H6" i="3"/>
  <c r="G7" i="3"/>
  <c r="H7" i="3"/>
  <c r="G8" i="3"/>
  <c r="H8" i="3"/>
  <c r="G9" i="3"/>
  <c r="H9" i="3"/>
  <c r="G10" i="3"/>
  <c r="H10" i="3"/>
  <c r="G11" i="3"/>
  <c r="H11" i="3"/>
  <c r="G12" i="3"/>
  <c r="H12" i="3"/>
  <c r="I12" i="3"/>
  <c r="G13" i="3"/>
  <c r="H13" i="3"/>
  <c r="I13" i="3"/>
  <c r="G14" i="3"/>
  <c r="H14" i="3"/>
  <c r="I14" i="3"/>
  <c r="G15" i="3"/>
  <c r="H15" i="3"/>
  <c r="I15" i="3"/>
  <c r="G16" i="3"/>
  <c r="H16" i="3"/>
  <c r="I16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2" i="3"/>
</calcChain>
</file>

<file path=xl/sharedStrings.xml><?xml version="1.0" encoding="utf-8"?>
<sst xmlns="http://schemas.openxmlformats.org/spreadsheetml/2006/main" count="29" uniqueCount="29">
  <si>
    <t>Student</t>
  </si>
  <si>
    <t>Nariman Point (N)</t>
  </si>
  <si>
    <t xml:space="preserve">Taj Mahal Palace (T) </t>
  </si>
  <si>
    <t xml:space="preserve">Horniman Circle (H) </t>
  </si>
  <si>
    <t>(C) Rank</t>
  </si>
  <si>
    <t>(N) Rank</t>
  </si>
  <si>
    <t>(T) Rank</t>
  </si>
  <si>
    <t>(H) Rank</t>
  </si>
  <si>
    <t>Blocks (b)</t>
  </si>
  <si>
    <t>Treatments (k)</t>
  </si>
  <si>
    <t>Sum (T) Rank ^2</t>
  </si>
  <si>
    <t>Sum (H) Rank ^2</t>
  </si>
  <si>
    <t>Sum (N) Rank ^2</t>
  </si>
  <si>
    <t>Sum (C) Rank ^2</t>
  </si>
  <si>
    <t>Part 1</t>
  </si>
  <si>
    <t>Part 2</t>
  </si>
  <si>
    <t>Part 3</t>
  </si>
  <si>
    <t>F(t)</t>
  </si>
  <si>
    <t>Sum of squares</t>
  </si>
  <si>
    <t>alpha</t>
  </si>
  <si>
    <t>Critical value</t>
  </si>
  <si>
    <t>chi-square</t>
  </si>
  <si>
    <t>p-value</t>
  </si>
  <si>
    <t>Churchgate (C)</t>
  </si>
  <si>
    <t>Sum of all ranks</t>
  </si>
  <si>
    <t>Expected sum, H0</t>
  </si>
  <si>
    <t>Min sum of ranks</t>
  </si>
  <si>
    <t>Max sum of ranks</t>
  </si>
  <si>
    <t>Reject Null?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</si>
</sst>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152400</xdr:colOff>
      <xdr:row>0</xdr:row>
      <xdr:rowOff>95250</xdr:rowOff>
    </xdr:from>
    <xdr:to>
      <xdr:col>21</xdr:col>
      <xdr:colOff>439771</xdr:colOff>
      <xdr:row>6</xdr:row>
      <xdr:rowOff>126097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509FB27-CB7E-4DDA-B741-0BE8025EC273}"/>
                </a:ext>
              </a:extLst>
            </xdr:cNvPr>
            <xdr:cNvSpPr txBox="1"/>
          </xdr:nvSpPr>
          <xdr:spPr>
            <a:xfrm>
              <a:off x="10001250" y="95250"/>
              <a:ext cx="5164171" cy="1173847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2400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400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2400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sub>
                    </m:sSub>
                    <m:r>
                      <a:rPr lang="en-US" sz="2400" b="0" i="1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en-US" sz="2400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2400" b="0" i="1">
                                <a:solidFill>
                                  <a:schemeClr val="accent1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2400" b="0" i="1">
                                <a:solidFill>
                                  <a:schemeClr val="accent1"/>
                                </a:solidFill>
                                <a:latin typeface="Cambria Math" panose="02040503050406030204" pitchFamily="18" charset="0"/>
                              </a:rPr>
                              <m:t>12</m:t>
                            </m:r>
                          </m:num>
                          <m:den>
                            <m:r>
                              <a:rPr lang="en-US" sz="2400" b="0" i="1">
                                <a:solidFill>
                                  <a:schemeClr val="accent1"/>
                                </a:solidFill>
                                <a:latin typeface="Cambria Math" panose="02040503050406030204" pitchFamily="18" charset="0"/>
                              </a:rPr>
                              <m:t>𝑏</m:t>
                            </m:r>
                            <m:r>
                              <a:rPr lang="en-US" sz="2400" b="0" i="1">
                                <a:solidFill>
                                  <a:schemeClr val="accent1"/>
                                </a:solidFill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US" sz="2400" b="0" i="1">
                                <a:solidFill>
                                  <a:schemeClr val="accent1"/>
                                </a:solidFill>
                                <a:latin typeface="Cambria Math" panose="02040503050406030204" pitchFamily="18" charset="0"/>
                              </a:rPr>
                              <m:t>𝑘</m:t>
                            </m:r>
                            <m:r>
                              <a:rPr lang="en-US" sz="2400" b="0" i="1">
                                <a:solidFill>
                                  <a:schemeClr val="accent1"/>
                                </a:solidFill>
                                <a:latin typeface="Cambria Math" panose="02040503050406030204" pitchFamily="18" charset="0"/>
                              </a:rPr>
                              <m:t>)(</m:t>
                            </m:r>
                            <m:r>
                              <a:rPr lang="en-US" sz="2400" b="0" i="1">
                                <a:solidFill>
                                  <a:schemeClr val="accent1"/>
                                </a:solidFill>
                                <a:latin typeface="Cambria Math" panose="02040503050406030204" pitchFamily="18" charset="0"/>
                              </a:rPr>
                              <m:t>𝑘</m:t>
                            </m:r>
                            <m:r>
                              <a:rPr lang="en-US" sz="2400" b="0" i="1">
                                <a:solidFill>
                                  <a:schemeClr val="accent1"/>
                                </a:solidFill>
                                <a:latin typeface="Cambria Math" panose="02040503050406030204" pitchFamily="18" charset="0"/>
                              </a:rPr>
                              <m:t>+1)</m:t>
                            </m:r>
                          </m:den>
                        </m:f>
                        <m:nary>
                          <m:naryPr>
                            <m:chr m:val="∑"/>
                            <m:ctrlPr>
                              <a:rPr lang="en-US" sz="2400" b="0" i="1">
                                <a:solidFill>
                                  <a:schemeClr val="accent2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US" sz="2400" b="0" i="1">
                                <a:solidFill>
                                  <a:schemeClr val="accent2"/>
                                </a:solidFill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US" sz="2400" b="0" i="1">
                                <a:solidFill>
                                  <a:schemeClr val="accent2"/>
                                </a:solidFill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sz="2400" b="0" i="1">
                                <a:solidFill>
                                  <a:schemeClr val="accent2"/>
                                </a:solidFill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  <m:e>
                            <m:sSubSup>
                              <m:sSubSupPr>
                                <m:ctrlPr>
                                  <a:rPr lang="en-US" sz="2400" i="1">
                                    <a:solidFill>
                                      <a:schemeClr val="accent2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2400" i="1">
                                    <a:solidFill>
                                      <a:schemeClr val="accent2"/>
                                    </a:solidFill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n-US" sz="2400" i="1">
                                    <a:solidFill>
                                      <a:schemeClr val="accent2"/>
                                    </a:solidFill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  <m:sup>
                                <m:r>
                                  <a:rPr lang="en-US" sz="2400" i="1">
                                    <a:solidFill>
                                      <a:schemeClr val="accent2"/>
                                    </a:solidFill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nary>
                      </m:e>
                    </m:d>
                    <m:r>
                      <a:rPr lang="en-US" sz="2400" b="0" i="1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2400" b="0" i="1">
                        <a:solidFill>
                          <a:schemeClr val="accent6"/>
                        </a:solidFill>
                        <a:latin typeface="Cambria Math" panose="02040503050406030204" pitchFamily="18" charset="0"/>
                      </a:rPr>
                      <m:t>3</m:t>
                    </m:r>
                    <m:r>
                      <a:rPr lang="en-US" sz="2400" b="0" i="1">
                        <a:solidFill>
                          <a:schemeClr val="accent6"/>
                        </a:solidFill>
                        <a:latin typeface="Cambria Math" panose="02040503050406030204" pitchFamily="18" charset="0"/>
                      </a:rPr>
                      <m:t>𝑏</m:t>
                    </m:r>
                    <m:r>
                      <a:rPr lang="en-US" sz="2400" b="0" i="1">
                        <a:solidFill>
                          <a:schemeClr val="accent6"/>
                        </a:solidFill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2400" b="0" i="1">
                        <a:solidFill>
                          <a:schemeClr val="accent6"/>
                        </a:solidFill>
                        <a:latin typeface="Cambria Math" panose="02040503050406030204" pitchFamily="18" charset="0"/>
                      </a:rPr>
                      <m:t>𝑘</m:t>
                    </m:r>
                    <m:r>
                      <a:rPr lang="en-US" sz="2400" b="0" i="1">
                        <a:solidFill>
                          <a:schemeClr val="accent6"/>
                        </a:solidFill>
                        <a:latin typeface="Cambria Math" panose="02040503050406030204" pitchFamily="18" charset="0"/>
                      </a:rPr>
                      <m:t>+1)</m:t>
                    </m:r>
                  </m:oMath>
                </m:oMathPara>
              </a14:m>
              <a:endParaRPr lang="en-US" sz="2400">
                <a:solidFill>
                  <a:schemeClr val="tx2"/>
                </a:solidFill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509FB27-CB7E-4DDA-B741-0BE8025EC273}"/>
                </a:ext>
              </a:extLst>
            </xdr:cNvPr>
            <xdr:cNvSpPr txBox="1"/>
          </xdr:nvSpPr>
          <xdr:spPr>
            <a:xfrm>
              <a:off x="10001250" y="95250"/>
              <a:ext cx="5164171" cy="1173847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sz="2400" b="0" i="0">
                  <a:solidFill>
                    <a:schemeClr val="tx2"/>
                  </a:solidFill>
                  <a:latin typeface="Cambria Math" panose="02040503050406030204" pitchFamily="18" charset="0"/>
                </a:rPr>
                <a:t>𝐹_𝑇=[</a:t>
              </a:r>
              <a:r>
                <a:rPr lang="en-US" sz="2400" b="0" i="0">
                  <a:solidFill>
                    <a:schemeClr val="accent1"/>
                  </a:solidFill>
                  <a:latin typeface="Cambria Math" panose="02040503050406030204" pitchFamily="18" charset="0"/>
                </a:rPr>
                <a:t>12/(𝑏(𝑘)(𝑘+1))</a:t>
              </a:r>
              <a:r>
                <a:rPr lang="en-US" sz="2400" b="0" i="0">
                  <a:solidFill>
                    <a:schemeClr val="accent2"/>
                  </a:solidFill>
                  <a:latin typeface="Cambria Math" panose="02040503050406030204" pitchFamily="18" charset="0"/>
                </a:rPr>
                <a:t> ∑_(𝑗=1)^𝑘▒</a:t>
              </a:r>
              <a:r>
                <a:rPr lang="en-US" sz="2400" i="0">
                  <a:solidFill>
                    <a:schemeClr val="accent2"/>
                  </a:solidFill>
                  <a:latin typeface="Cambria Math" panose="02040503050406030204" pitchFamily="18" charset="0"/>
                </a:rPr>
                <a:t>𝑇_𝑗^2 </a:t>
              </a:r>
              <a:r>
                <a:rPr lang="en-US" sz="2400" i="0">
                  <a:solidFill>
                    <a:schemeClr val="tx2"/>
                  </a:solidFill>
                  <a:latin typeface="Cambria Math" panose="02040503050406030204" pitchFamily="18" charset="0"/>
                </a:rPr>
                <a:t>]</a:t>
              </a:r>
              <a:r>
                <a:rPr lang="en-US" sz="2400" b="0" i="0">
                  <a:solidFill>
                    <a:schemeClr val="tx2"/>
                  </a:solidFill>
                  <a:latin typeface="Cambria Math" panose="02040503050406030204" pitchFamily="18" charset="0"/>
                </a:rPr>
                <a:t>−</a:t>
              </a:r>
              <a:r>
                <a:rPr lang="en-US" sz="2400" b="0" i="0">
                  <a:solidFill>
                    <a:schemeClr val="accent6"/>
                  </a:solidFill>
                  <a:latin typeface="Cambria Math" panose="02040503050406030204" pitchFamily="18" charset="0"/>
                </a:rPr>
                <a:t>3𝑏(𝑘+1)</a:t>
              </a:r>
              <a:endParaRPr lang="en-US" sz="2400">
                <a:solidFill>
                  <a:schemeClr val="tx2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152400</xdr:colOff>
      <xdr:row>9</xdr:row>
      <xdr:rowOff>83555</xdr:rowOff>
    </xdr:from>
    <xdr:to>
      <xdr:col>19</xdr:col>
      <xdr:colOff>231720</xdr:colOff>
      <xdr:row>10</xdr:row>
      <xdr:rowOff>170054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7">
              <a:extLst>
                <a:ext uri="{FF2B5EF4-FFF2-40B4-BE49-F238E27FC236}">
                  <a16:creationId xmlns:a16="http://schemas.microsoft.com/office/drawing/2014/main" id="{4F910579-23C4-4F19-A929-E29850BBB31D}"/>
                </a:ext>
              </a:extLst>
            </xdr:cNvPr>
            <xdr:cNvSpPr txBox="1"/>
          </xdr:nvSpPr>
          <xdr:spPr>
            <a:xfrm>
              <a:off x="10001250" y="1798055"/>
              <a:ext cx="3736920" cy="27699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b="0" i="1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𝑘</m:t>
                    </m:r>
                    <m:r>
                      <a:rPr lang="en-US" b="0" i="1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number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of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columns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(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treatments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>
                <a:solidFill>
                  <a:schemeClr val="tx2"/>
                </a:solidFill>
              </a:endParaRPr>
            </a:p>
          </xdr:txBody>
        </xdr:sp>
      </mc:Choice>
      <mc:Fallback xmlns="">
        <xdr:sp macro="" textlink="">
          <xdr:nvSpPr>
            <xdr:cNvPr id="3" name="TextBox 7">
              <a:extLst>
                <a:ext uri="{FF2B5EF4-FFF2-40B4-BE49-F238E27FC236}">
                  <a16:creationId xmlns:a16="http://schemas.microsoft.com/office/drawing/2014/main" id="{4F910579-23C4-4F19-A929-E29850BBB31D}"/>
                </a:ext>
              </a:extLst>
            </xdr:cNvPr>
            <xdr:cNvSpPr txBox="1"/>
          </xdr:nvSpPr>
          <xdr:spPr>
            <a:xfrm>
              <a:off x="10001250" y="1798055"/>
              <a:ext cx="3736920" cy="27699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b="0" i="0">
                  <a:solidFill>
                    <a:schemeClr val="tx2"/>
                  </a:solidFill>
                  <a:latin typeface="Cambria Math" panose="02040503050406030204" pitchFamily="18" charset="0"/>
                </a:rPr>
                <a:t>𝑘="number of columns (treatments)"</a:t>
              </a:r>
              <a:endParaRPr lang="en-US">
                <a:solidFill>
                  <a:schemeClr val="tx2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152400</xdr:colOff>
      <xdr:row>11</xdr:row>
      <xdr:rowOff>146006</xdr:rowOff>
    </xdr:from>
    <xdr:to>
      <xdr:col>18</xdr:col>
      <xdr:colOff>446918</xdr:colOff>
      <xdr:row>13</xdr:row>
      <xdr:rowOff>42005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8">
              <a:extLst>
                <a:ext uri="{FF2B5EF4-FFF2-40B4-BE49-F238E27FC236}">
                  <a16:creationId xmlns:a16="http://schemas.microsoft.com/office/drawing/2014/main" id="{B289C7EC-6B5A-4FFF-87ED-DC35A3F63723}"/>
                </a:ext>
              </a:extLst>
            </xdr:cNvPr>
            <xdr:cNvSpPr txBox="1"/>
          </xdr:nvSpPr>
          <xdr:spPr>
            <a:xfrm>
              <a:off x="10001250" y="2241506"/>
              <a:ext cx="3342518" cy="27699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i="1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𝑏</m:t>
                    </m:r>
                    <m:r>
                      <a:rPr lang="en-US" b="0" i="1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the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number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of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nows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(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blocks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>
                <a:solidFill>
                  <a:schemeClr val="tx2"/>
                </a:solidFill>
              </a:endParaRPr>
            </a:p>
          </xdr:txBody>
        </xdr:sp>
      </mc:Choice>
      <mc:Fallback xmlns="">
        <xdr:sp macro="" textlink="">
          <xdr:nvSpPr>
            <xdr:cNvPr id="4" name="TextBox 8">
              <a:extLst>
                <a:ext uri="{FF2B5EF4-FFF2-40B4-BE49-F238E27FC236}">
                  <a16:creationId xmlns:a16="http://schemas.microsoft.com/office/drawing/2014/main" id="{B289C7EC-6B5A-4FFF-87ED-DC35A3F63723}"/>
                </a:ext>
              </a:extLst>
            </xdr:cNvPr>
            <xdr:cNvSpPr txBox="1"/>
          </xdr:nvSpPr>
          <xdr:spPr>
            <a:xfrm>
              <a:off x="10001250" y="2241506"/>
              <a:ext cx="3342518" cy="27699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i="0">
                  <a:solidFill>
                    <a:schemeClr val="tx2"/>
                  </a:solidFill>
                  <a:latin typeface="Cambria Math" panose="02040503050406030204" pitchFamily="18" charset="0"/>
                </a:rPr>
                <a:t>𝑏</a:t>
              </a:r>
              <a:r>
                <a:rPr lang="en-US" b="0" i="0">
                  <a:solidFill>
                    <a:schemeClr val="tx2"/>
                  </a:solidFill>
                  <a:latin typeface="Cambria Math" panose="02040503050406030204" pitchFamily="18" charset="0"/>
                </a:rPr>
                <a:t>="the number of nows (blocks)"</a:t>
              </a:r>
              <a:endParaRPr lang="en-US">
                <a:solidFill>
                  <a:schemeClr val="tx2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152400</xdr:colOff>
      <xdr:row>14</xdr:row>
      <xdr:rowOff>556</xdr:rowOff>
    </xdr:from>
    <xdr:to>
      <xdr:col>24</xdr:col>
      <xdr:colOff>156457</xdr:colOff>
      <xdr:row>15</xdr:row>
      <xdr:rowOff>133350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10">
              <a:extLst>
                <a:ext uri="{FF2B5EF4-FFF2-40B4-BE49-F238E27FC236}">
                  <a16:creationId xmlns:a16="http://schemas.microsoft.com/office/drawing/2014/main" id="{C1EA6297-87B2-4061-8D12-669A9B97D733}"/>
                </a:ext>
              </a:extLst>
            </xdr:cNvPr>
            <xdr:cNvSpPr txBox="1"/>
          </xdr:nvSpPr>
          <xdr:spPr>
            <a:xfrm>
              <a:off x="10001250" y="2667556"/>
              <a:ext cx="6709657" cy="32329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US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>
                        <m:r>
                          <a:rPr lang="en-US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b="0" i="1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the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squared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sum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of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the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ranks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for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sample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treatment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(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column</m:t>
                    </m:r>
                    <m:r>
                      <m:rPr>
                        <m:nor/>
                      </m:rPr>
                      <a:rPr lang="en-US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) </m:t>
                    </m:r>
                    <m:r>
                      <a:rPr lang="en-US" b="0" i="1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𝑗</m:t>
                    </m:r>
                  </m:oMath>
                </m:oMathPara>
              </a14:m>
              <a:endParaRPr lang="en-US">
                <a:solidFill>
                  <a:schemeClr val="tx2"/>
                </a:solidFill>
              </a:endParaRPr>
            </a:p>
          </xdr:txBody>
        </xdr:sp>
      </mc:Choice>
      <mc:Fallback xmlns="">
        <xdr:sp macro="" textlink="">
          <xdr:nvSpPr>
            <xdr:cNvPr id="5" name="TextBox 10">
              <a:extLst>
                <a:ext uri="{FF2B5EF4-FFF2-40B4-BE49-F238E27FC236}">
                  <a16:creationId xmlns:a16="http://schemas.microsoft.com/office/drawing/2014/main" id="{C1EA6297-87B2-4061-8D12-669A9B97D733}"/>
                </a:ext>
              </a:extLst>
            </xdr:cNvPr>
            <xdr:cNvSpPr txBox="1"/>
          </xdr:nvSpPr>
          <xdr:spPr>
            <a:xfrm>
              <a:off x="10001250" y="2667556"/>
              <a:ext cx="6709657" cy="32329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i="0">
                  <a:solidFill>
                    <a:schemeClr val="tx2"/>
                  </a:solidFill>
                  <a:latin typeface="Cambria Math" panose="02040503050406030204" pitchFamily="18" charset="0"/>
                </a:rPr>
                <a:t>𝑇_𝑗^2</a:t>
              </a:r>
              <a:r>
                <a:rPr lang="en-US" b="0" i="0">
                  <a:solidFill>
                    <a:schemeClr val="tx2"/>
                  </a:solidFill>
                  <a:latin typeface="Cambria Math" panose="02040503050406030204" pitchFamily="18" charset="0"/>
                </a:rPr>
                <a:t>="the squared sum of the ranks for sample treatment (column) " 𝑗</a:t>
              </a:r>
              <a:endParaRPr lang="en-US">
                <a:solidFill>
                  <a:schemeClr val="tx2"/>
                </a:solidFill>
              </a:endParaRP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3E94C-23E7-4978-B635-A022DAA1B8E0}">
  <dimension ref="A1:Y27"/>
  <sheetViews>
    <sheetView tabSelected="1" topLeftCell="F1" zoomScale="98" zoomScaleNormal="145" workbookViewId="0">
      <selection activeCell="L20" sqref="L20"/>
    </sheetView>
  </sheetViews>
  <sheetFormatPr defaultRowHeight="15" x14ac:dyDescent="0.25"/>
  <cols>
    <col min="2" max="2" width="13.42578125" bestFit="1" customWidth="1"/>
    <col min="3" max="3" width="17.28515625" bestFit="1" customWidth="1"/>
    <col min="4" max="4" width="19.140625" bestFit="1" customWidth="1"/>
    <col min="5" max="5" width="19" bestFit="1" customWidth="1"/>
    <col min="10" max="10" width="2.85546875" customWidth="1"/>
    <col min="11" max="11" width="15.42578125" bestFit="1" customWidth="1"/>
    <col min="12" max="12" width="19.7109375" customWidth="1"/>
    <col min="13" max="13" width="2.85546875" customWidth="1"/>
  </cols>
  <sheetData>
    <row r="1" spans="1:25" x14ac:dyDescent="0.25">
      <c r="A1" t="s">
        <v>0</v>
      </c>
      <c r="B1" t="s">
        <v>23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K1" t="s">
        <v>8</v>
      </c>
      <c r="L1">
        <f>COUNT(F2:F16)</f>
        <v>15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x14ac:dyDescent="0.25">
      <c r="A2">
        <v>1</v>
      </c>
      <c r="B2">
        <v>20</v>
      </c>
      <c r="C2">
        <v>11</v>
      </c>
      <c r="D2">
        <v>17</v>
      </c>
      <c r="E2">
        <v>24</v>
      </c>
      <c r="F2">
        <f>_xlfn.RANK.AVG(B2,$B2:$E2,1)</f>
        <v>3</v>
      </c>
      <c r="G2">
        <f t="shared" ref="G2:I16" si="0">_xlfn.RANK.AVG(C2,$B2:$E2,1)</f>
        <v>1</v>
      </c>
      <c r="H2">
        <f t="shared" si="0"/>
        <v>2</v>
      </c>
      <c r="I2">
        <f t="shared" si="0"/>
        <v>4</v>
      </c>
      <c r="K2" t="s">
        <v>9</v>
      </c>
      <c r="L2">
        <f>COUNT(F2:I2)</f>
        <v>4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x14ac:dyDescent="0.25">
      <c r="A3">
        <v>2</v>
      </c>
      <c r="B3">
        <v>17</v>
      </c>
      <c r="C3">
        <v>14</v>
      </c>
      <c r="D3">
        <v>23</v>
      </c>
      <c r="E3">
        <v>24</v>
      </c>
      <c r="F3">
        <f t="shared" ref="F3:F16" si="1">_xlfn.RANK.AVG(B3,$B3:$E3,1)</f>
        <v>2</v>
      </c>
      <c r="G3">
        <f t="shared" si="0"/>
        <v>1</v>
      </c>
      <c r="H3">
        <f t="shared" si="0"/>
        <v>3</v>
      </c>
      <c r="I3">
        <f t="shared" si="0"/>
        <v>4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x14ac:dyDescent="0.25">
      <c r="A4">
        <v>3</v>
      </c>
      <c r="B4">
        <v>16</v>
      </c>
      <c r="C4">
        <v>13</v>
      </c>
      <c r="D4">
        <v>15</v>
      </c>
      <c r="E4">
        <v>22</v>
      </c>
      <c r="F4">
        <f t="shared" si="1"/>
        <v>3</v>
      </c>
      <c r="G4">
        <f t="shared" si="0"/>
        <v>1</v>
      </c>
      <c r="H4">
        <f>_xlfn.RANK.AVG(D4,$B4:$E4,1)</f>
        <v>2</v>
      </c>
      <c r="I4">
        <f>_xlfn.RANK.AVG(E4,$B4:$E4,1)</f>
        <v>4</v>
      </c>
      <c r="K4" s="1" t="s">
        <v>14</v>
      </c>
      <c r="L4">
        <f>(12)/(L1*L2*(L2+1))</f>
        <v>0.04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x14ac:dyDescent="0.25">
      <c r="A5">
        <v>4</v>
      </c>
      <c r="B5">
        <v>15</v>
      </c>
      <c r="C5">
        <v>13</v>
      </c>
      <c r="D5">
        <v>15</v>
      </c>
      <c r="E5">
        <v>23</v>
      </c>
      <c r="F5">
        <f t="shared" si="1"/>
        <v>2.5</v>
      </c>
      <c r="G5">
        <f t="shared" si="0"/>
        <v>1</v>
      </c>
      <c r="H5">
        <f t="shared" si="0"/>
        <v>2.5</v>
      </c>
      <c r="I5">
        <f>_xlfn.RANK.AVG(E5,$B5:$E5,1)</f>
        <v>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x14ac:dyDescent="0.25">
      <c r="A6">
        <v>5</v>
      </c>
      <c r="B6">
        <v>13</v>
      </c>
      <c r="C6">
        <v>17</v>
      </c>
      <c r="D6">
        <v>16</v>
      </c>
      <c r="E6">
        <v>20</v>
      </c>
      <c r="F6">
        <f t="shared" si="1"/>
        <v>1</v>
      </c>
      <c r="G6">
        <f t="shared" si="0"/>
        <v>3</v>
      </c>
      <c r="H6">
        <f t="shared" si="0"/>
        <v>2</v>
      </c>
      <c r="I6">
        <f>_xlfn.RANK.AVG(E6,$B6:$E6,1)</f>
        <v>4</v>
      </c>
      <c r="K6" s="2" t="s">
        <v>15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x14ac:dyDescent="0.25">
      <c r="A7">
        <v>6</v>
      </c>
      <c r="B7">
        <v>20</v>
      </c>
      <c r="C7">
        <v>16</v>
      </c>
      <c r="D7">
        <v>16</v>
      </c>
      <c r="E7">
        <v>20</v>
      </c>
      <c r="F7">
        <f t="shared" si="1"/>
        <v>3.5</v>
      </c>
      <c r="G7">
        <f t="shared" si="0"/>
        <v>1.5</v>
      </c>
      <c r="H7">
        <f t="shared" si="0"/>
        <v>1.5</v>
      </c>
      <c r="I7">
        <f>_xlfn.RANK.AVG(E7,$B7:$E7,1)</f>
        <v>3.5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x14ac:dyDescent="0.25">
      <c r="A8">
        <v>7</v>
      </c>
      <c r="B8">
        <v>12</v>
      </c>
      <c r="C8">
        <v>18</v>
      </c>
      <c r="D8">
        <v>19</v>
      </c>
      <c r="E8">
        <v>19</v>
      </c>
      <c r="F8">
        <f t="shared" si="1"/>
        <v>1</v>
      </c>
      <c r="G8">
        <f t="shared" si="0"/>
        <v>2</v>
      </c>
      <c r="H8">
        <f t="shared" si="0"/>
        <v>3.5</v>
      </c>
      <c r="I8">
        <f>_xlfn.RANK.AVG(E8,$B8:$E8,1)</f>
        <v>3.5</v>
      </c>
      <c r="K8" t="s">
        <v>13</v>
      </c>
      <c r="L8">
        <f>F17^2</f>
        <v>1089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x14ac:dyDescent="0.25">
      <c r="A9">
        <v>8</v>
      </c>
      <c r="B9">
        <v>18</v>
      </c>
      <c r="C9">
        <v>16</v>
      </c>
      <c r="D9">
        <v>17</v>
      </c>
      <c r="E9">
        <v>24</v>
      </c>
      <c r="F9">
        <f t="shared" si="1"/>
        <v>3</v>
      </c>
      <c r="G9">
        <f t="shared" si="0"/>
        <v>1</v>
      </c>
      <c r="H9">
        <f t="shared" si="0"/>
        <v>2</v>
      </c>
      <c r="I9">
        <f>_xlfn.RANK.AVG(E9,$B9:$E9,1)</f>
        <v>4</v>
      </c>
      <c r="K9" t="s">
        <v>12</v>
      </c>
      <c r="L9">
        <f>G17^2</f>
        <v>380.25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x14ac:dyDescent="0.25">
      <c r="A10">
        <v>9</v>
      </c>
      <c r="B10">
        <v>14</v>
      </c>
      <c r="C10">
        <v>11</v>
      </c>
      <c r="D10">
        <v>23</v>
      </c>
      <c r="E10">
        <v>21</v>
      </c>
      <c r="F10">
        <f t="shared" si="1"/>
        <v>2</v>
      </c>
      <c r="G10">
        <f t="shared" si="0"/>
        <v>1</v>
      </c>
      <c r="H10">
        <f t="shared" si="0"/>
        <v>4</v>
      </c>
      <c r="I10">
        <f>_xlfn.RANK.AVG(E10,$B10:$E10,1)</f>
        <v>3</v>
      </c>
      <c r="K10" t="s">
        <v>10</v>
      </c>
      <c r="L10">
        <f>H17^2</f>
        <v>1764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x14ac:dyDescent="0.25">
      <c r="A11">
        <v>10</v>
      </c>
      <c r="B11">
        <v>13</v>
      </c>
      <c r="C11">
        <v>18</v>
      </c>
      <c r="D11">
        <v>22</v>
      </c>
      <c r="E11">
        <v>19</v>
      </c>
      <c r="F11">
        <f t="shared" si="1"/>
        <v>1</v>
      </c>
      <c r="G11">
        <f t="shared" si="0"/>
        <v>2</v>
      </c>
      <c r="H11">
        <f t="shared" si="0"/>
        <v>4</v>
      </c>
      <c r="I11">
        <f>_xlfn.RANK.AVG(E11,$B11:$E11,1)</f>
        <v>3</v>
      </c>
      <c r="K11" t="s">
        <v>11</v>
      </c>
      <c r="L11">
        <f>I17^2</f>
        <v>3080.25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25">
      <c r="A12">
        <v>11</v>
      </c>
      <c r="B12">
        <v>15</v>
      </c>
      <c r="C12">
        <v>14</v>
      </c>
      <c r="D12">
        <v>17</v>
      </c>
      <c r="E12">
        <v>22</v>
      </c>
      <c r="F12">
        <f t="shared" si="1"/>
        <v>2</v>
      </c>
      <c r="G12">
        <f t="shared" si="0"/>
        <v>1</v>
      </c>
      <c r="H12">
        <f t="shared" si="0"/>
        <v>3</v>
      </c>
      <c r="I12">
        <f t="shared" si="0"/>
        <v>4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x14ac:dyDescent="0.25">
      <c r="A13">
        <v>12</v>
      </c>
      <c r="B13">
        <v>17</v>
      </c>
      <c r="C13">
        <v>16</v>
      </c>
      <c r="D13">
        <v>17</v>
      </c>
      <c r="E13">
        <v>21</v>
      </c>
      <c r="F13">
        <f t="shared" si="1"/>
        <v>2.5</v>
      </c>
      <c r="G13">
        <f t="shared" si="0"/>
        <v>1</v>
      </c>
      <c r="H13">
        <f t="shared" si="0"/>
        <v>2.5</v>
      </c>
      <c r="I13">
        <f t="shared" si="0"/>
        <v>4</v>
      </c>
      <c r="K13" t="s">
        <v>18</v>
      </c>
      <c r="L13">
        <f>SUM(L8:L11)</f>
        <v>6313.5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>
        <v>13</v>
      </c>
      <c r="B14">
        <v>20</v>
      </c>
      <c r="C14">
        <v>18</v>
      </c>
      <c r="D14">
        <v>20</v>
      </c>
      <c r="E14">
        <v>22</v>
      </c>
      <c r="F14">
        <f t="shared" si="1"/>
        <v>2.5</v>
      </c>
      <c r="G14">
        <f t="shared" si="0"/>
        <v>1</v>
      </c>
      <c r="H14">
        <f t="shared" si="0"/>
        <v>2.5</v>
      </c>
      <c r="I14">
        <f t="shared" si="0"/>
        <v>4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x14ac:dyDescent="0.25">
      <c r="A15">
        <v>14</v>
      </c>
      <c r="B15">
        <v>17</v>
      </c>
      <c r="C15">
        <v>16</v>
      </c>
      <c r="D15">
        <v>23</v>
      </c>
      <c r="E15">
        <v>19</v>
      </c>
      <c r="F15">
        <f t="shared" si="1"/>
        <v>2</v>
      </c>
      <c r="G15">
        <f t="shared" si="0"/>
        <v>1</v>
      </c>
      <c r="H15">
        <f t="shared" si="0"/>
        <v>4</v>
      </c>
      <c r="I15">
        <f t="shared" si="0"/>
        <v>3</v>
      </c>
      <c r="K15" s="3" t="s">
        <v>16</v>
      </c>
      <c r="L15">
        <f>3*L1*(L2+1)</f>
        <v>225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>
        <v>15</v>
      </c>
      <c r="B16">
        <v>17</v>
      </c>
      <c r="C16">
        <v>16</v>
      </c>
      <c r="D16">
        <v>21</v>
      </c>
      <c r="E16">
        <v>21</v>
      </c>
      <c r="F16">
        <f t="shared" si="1"/>
        <v>2</v>
      </c>
      <c r="G16">
        <f t="shared" si="0"/>
        <v>1</v>
      </c>
      <c r="H16">
        <f t="shared" si="0"/>
        <v>3.5</v>
      </c>
      <c r="I16">
        <f t="shared" si="0"/>
        <v>3.5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6:25" x14ac:dyDescent="0.25">
      <c r="F17" s="5">
        <f>SUM(F2:F16)</f>
        <v>33</v>
      </c>
      <c r="G17" s="5">
        <f>SUM(G2:G16)</f>
        <v>19.5</v>
      </c>
      <c r="H17" s="5">
        <f>SUM(H2:H16)</f>
        <v>42</v>
      </c>
      <c r="I17" s="5">
        <f>SUM(I2:I16)</f>
        <v>55.5</v>
      </c>
      <c r="K17" t="s">
        <v>19</v>
      </c>
      <c r="L17">
        <v>0.05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6:25" x14ac:dyDescent="0.25"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6:25" x14ac:dyDescent="0.25">
      <c r="K19" t="s">
        <v>17</v>
      </c>
      <c r="L19">
        <f>(L4*L13)-L15</f>
        <v>27.539999999999992</v>
      </c>
    </row>
    <row r="20" spans="6:25" x14ac:dyDescent="0.25">
      <c r="F20" t="s">
        <v>26</v>
      </c>
      <c r="H20">
        <f>15*1</f>
        <v>15</v>
      </c>
    </row>
    <row r="21" spans="6:25" x14ac:dyDescent="0.25">
      <c r="F21" t="s">
        <v>27</v>
      </c>
      <c r="H21">
        <f>15*4</f>
        <v>60</v>
      </c>
      <c r="K21" t="s">
        <v>20</v>
      </c>
      <c r="L21">
        <f>_xlfn.CHISQ.INV.RT(L17,L2-1)</f>
        <v>7.8147279032511792</v>
      </c>
    </row>
    <row r="22" spans="6:25" x14ac:dyDescent="0.25">
      <c r="F22" t="s">
        <v>24</v>
      </c>
      <c r="H22">
        <f>SUM(F17:I17)</f>
        <v>150</v>
      </c>
      <c r="K22" t="s">
        <v>21</v>
      </c>
    </row>
    <row r="23" spans="6:25" x14ac:dyDescent="0.25">
      <c r="F23" t="s">
        <v>25</v>
      </c>
      <c r="H23">
        <f>H22/4</f>
        <v>37.5</v>
      </c>
    </row>
    <row r="24" spans="6:25" x14ac:dyDescent="0.25">
      <c r="K24" t="s">
        <v>22</v>
      </c>
      <c r="L24">
        <f>_xlfn.CHISQ.DIST.RT(L19,L2-1)</f>
        <v>4.5360266321899221E-6</v>
      </c>
    </row>
    <row r="26" spans="6:25" x14ac:dyDescent="0.25">
      <c r="K26" t="s">
        <v>28</v>
      </c>
      <c r="L26" t="str">
        <f>IF(L24&lt;L17,"Reject","Fail to reject")</f>
        <v>Reject</v>
      </c>
    </row>
    <row r="27" spans="6:25" x14ac:dyDescent="0.25">
      <c r="L27" t="str">
        <f>IF(L19&gt;L21,"Reject","Fail to reject")</f>
        <v>Reject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DAVID CORZO</cp:lastModifiedBy>
  <dcterms:created xsi:type="dcterms:W3CDTF">2019-12-12T22:58:09Z</dcterms:created>
  <dcterms:modified xsi:type="dcterms:W3CDTF">2020-10-31T22:17:50Z</dcterms:modified>
</cp:coreProperties>
</file>