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Me-Youtube-Cursos___\Statistics 101\"/>
    </mc:Choice>
  </mc:AlternateContent>
  <xr:revisionPtr revIDLastSave="0" documentId="13_ncr:1_{9408E4D1-F762-421C-86B7-4EDA18A163D6}" xr6:coauthVersionLast="45" xr6:coauthVersionMax="45" xr10:uidLastSave="{00000000-0000-0000-0000-000000000000}"/>
  <bookViews>
    <workbookView xWindow="3510" yWindow="1560" windowWidth="14100" windowHeight="14640" xr2:uid="{B121A5E3-7E03-460A-96D0-7189DF6E1BDA}"/>
  </bookViews>
  <sheets>
    <sheet name="BLAN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3" l="1"/>
  <c r="I16" i="3" l="1"/>
  <c r="I12" i="3"/>
  <c r="I9" i="3"/>
  <c r="I8" i="3"/>
  <c r="I6" i="3"/>
  <c r="I5" i="3"/>
  <c r="I3" i="3"/>
  <c r="I2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" i="3"/>
</calcChain>
</file>

<file path=xl/sharedStrings.xml><?xml version="1.0" encoding="utf-8"?>
<sst xmlns="http://schemas.openxmlformats.org/spreadsheetml/2006/main" count="66" uniqueCount="14">
  <si>
    <t>Fall Semester</t>
  </si>
  <si>
    <t>Spring Semester</t>
  </si>
  <si>
    <t>SEMESTER</t>
  </si>
  <si>
    <t>RATING</t>
  </si>
  <si>
    <t>RANK</t>
  </si>
  <si>
    <t>RANK SUM</t>
  </si>
  <si>
    <t>z</t>
  </si>
  <si>
    <t>Fall Count</t>
  </si>
  <si>
    <t>Spring Count</t>
  </si>
  <si>
    <t>p-value</t>
  </si>
  <si>
    <r>
      <t>µ</t>
    </r>
    <r>
      <rPr>
        <vertAlign val="subscript"/>
        <sz val="11"/>
        <color theme="1"/>
        <rFont val="Calibri"/>
        <family val="2"/>
      </rPr>
      <t>W</t>
    </r>
  </si>
  <si>
    <r>
      <t>σ</t>
    </r>
    <r>
      <rPr>
        <vertAlign val="subscript"/>
        <sz val="11"/>
        <color theme="1"/>
        <rFont val="Calibri"/>
        <family val="2"/>
      </rPr>
      <t>W</t>
    </r>
  </si>
  <si>
    <t>alpha</t>
  </si>
  <si>
    <t>Reject?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</si>
</sst>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335280</xdr:colOff>
      <xdr:row>2</xdr:row>
      <xdr:rowOff>53340</xdr:rowOff>
    </xdr:from>
    <xdr:to>
      <xdr:col>18</xdr:col>
      <xdr:colOff>21598</xdr:colOff>
      <xdr:row>6</xdr:row>
      <xdr:rowOff>22909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3">
              <a:extLst>
                <a:ext uri="{FF2B5EF4-FFF2-40B4-BE49-F238E27FC236}">
                  <a16:creationId xmlns:a16="http://schemas.microsoft.com/office/drawing/2014/main" id="{0F3C2801-B5E6-43E5-B7FD-FD7C8A109322}"/>
                </a:ext>
              </a:extLst>
            </xdr:cNvPr>
            <xdr:cNvSpPr txBox="1"/>
          </xdr:nvSpPr>
          <xdr:spPr>
            <a:xfrm>
              <a:off x="8702040" y="419100"/>
              <a:ext cx="3953518" cy="7010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24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Mean</m:t>
                    </m:r>
                    <m:r>
                      <m:rPr>
                        <m:nor/>
                      </m:rPr>
                      <a:rPr lang="en-US" sz="24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: </m:t>
                    </m:r>
                    <m:sSub>
                      <m:sSubPr>
                        <m:ctrlP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24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+1)</m:t>
                        </m:r>
                      </m:num>
                      <m:den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24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2" name="TextBox 3">
              <a:extLst>
                <a:ext uri="{FF2B5EF4-FFF2-40B4-BE49-F238E27FC236}">
                  <a16:creationId xmlns:a16="http://schemas.microsoft.com/office/drawing/2014/main" id="{0F3C2801-B5E6-43E5-B7FD-FD7C8A109322}"/>
                </a:ext>
              </a:extLst>
            </xdr:cNvPr>
            <xdr:cNvSpPr txBox="1"/>
          </xdr:nvSpPr>
          <xdr:spPr>
            <a:xfrm>
              <a:off x="8702040" y="419100"/>
              <a:ext cx="3953518" cy="7010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"Mean: " 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𝑊=(𝑛_1 (𝑛_1+𝑛_2+1))/2</a:t>
              </a:r>
              <a:endParaRPr lang="en-US" sz="24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11</xdr:col>
      <xdr:colOff>335280</xdr:colOff>
      <xdr:row>6</xdr:row>
      <xdr:rowOff>135624</xdr:rowOff>
    </xdr:from>
    <xdr:to>
      <xdr:col>21</xdr:col>
      <xdr:colOff>425332</xdr:colOff>
      <xdr:row>12</xdr:row>
      <xdr:rowOff>129540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22A0B764-235A-4544-AEBD-7E51E55A112B}"/>
                </a:ext>
              </a:extLst>
            </xdr:cNvPr>
            <xdr:cNvSpPr txBox="1"/>
          </xdr:nvSpPr>
          <xdr:spPr>
            <a:xfrm>
              <a:off x="8702040" y="1232904"/>
              <a:ext cx="6186052" cy="10911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24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Standard</m:t>
                    </m:r>
                    <m:r>
                      <m:rPr>
                        <m:nor/>
                      </m:rPr>
                      <a:rPr lang="en-US" sz="24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24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deviation</m:t>
                    </m:r>
                    <m:r>
                      <m:rPr>
                        <m:nor/>
                      </m:rPr>
                      <a:rPr lang="en-US" sz="2400" b="0" i="0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: </m:t>
                    </m:r>
                    <m:sSub>
                      <m:sSubPr>
                        <m:ctrlP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24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2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2400" b="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24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24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2400" i="1">
                                    <a:solidFill>
                                      <a:schemeClr val="tx2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24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+1)</m:t>
                            </m:r>
                          </m:num>
                          <m:den>
                            <m:r>
                              <a:rPr lang="en-US" sz="2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12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24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22A0B764-235A-4544-AEBD-7E51E55A112B}"/>
                </a:ext>
              </a:extLst>
            </xdr:cNvPr>
            <xdr:cNvSpPr txBox="1"/>
          </xdr:nvSpPr>
          <xdr:spPr>
            <a:xfrm>
              <a:off x="8702040" y="1232904"/>
              <a:ext cx="6186052" cy="10911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"Standard deviation: " 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𝜎_𝑊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=√((</a:t>
              </a:r>
              <a:r>
                <a:rPr lang="en-US" sz="240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𝑛_1 𝑛_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2 </a:t>
              </a:r>
              <a:r>
                <a:rPr lang="en-US" sz="2400" i="0">
                  <a:solidFill>
                    <a:schemeClr val="tx2"/>
                  </a:solidFill>
                  <a:latin typeface="Cambria Math" panose="02040503050406030204" pitchFamily="18" charset="0"/>
                </a:rPr>
                <a:t>(𝑛_1+𝑛_2+1)</a:t>
              </a:r>
              <a:r>
                <a:rPr lang="en-US" sz="2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)/12)</a:t>
              </a:r>
              <a:endParaRPr lang="en-US" sz="24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  <xdr:twoCellAnchor>
    <xdr:from>
      <xdr:col>11</xdr:col>
      <xdr:colOff>358140</xdr:colOff>
      <xdr:row>13</xdr:row>
      <xdr:rowOff>121920</xdr:rowOff>
    </xdr:from>
    <xdr:to>
      <xdr:col>15</xdr:col>
      <xdr:colOff>197030</xdr:colOff>
      <xdr:row>19</xdr:row>
      <xdr:rowOff>27159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4">
              <a:extLst>
                <a:ext uri="{FF2B5EF4-FFF2-40B4-BE49-F238E27FC236}">
                  <a16:creationId xmlns:a16="http://schemas.microsoft.com/office/drawing/2014/main" id="{C7C4B568-BCD6-4A0E-BD3E-3F3D78A2E4F4}"/>
                </a:ext>
              </a:extLst>
            </xdr:cNvPr>
            <xdr:cNvSpPr txBox="1"/>
          </xdr:nvSpPr>
          <xdr:spPr>
            <a:xfrm>
              <a:off x="8724900" y="2499360"/>
              <a:ext cx="2277290" cy="10025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32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US" sz="3200" b="0" i="1">
                        <a:solidFill>
                          <a:schemeClr val="tx2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32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32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  <m:r>
                          <a:rPr lang="en-US" sz="32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32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320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2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US" sz="32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3200">
                <a:solidFill>
                  <a:schemeClr val="tx2"/>
                </a:solidFill>
              </a:endParaRPr>
            </a:p>
          </xdr:txBody>
        </xdr:sp>
      </mc:Choice>
      <mc:Fallback xmlns="">
        <xdr:sp macro="" textlink="">
          <xdr:nvSpPr>
            <xdr:cNvPr id="4" name="TextBox 4">
              <a:extLst>
                <a:ext uri="{FF2B5EF4-FFF2-40B4-BE49-F238E27FC236}">
                  <a16:creationId xmlns:a16="http://schemas.microsoft.com/office/drawing/2014/main" id="{C7C4B568-BCD6-4A0E-BD3E-3F3D78A2E4F4}"/>
                </a:ext>
              </a:extLst>
            </xdr:cNvPr>
            <xdr:cNvSpPr txBox="1"/>
          </xdr:nvSpPr>
          <xdr:spPr>
            <a:xfrm>
              <a:off x="8724900" y="2499360"/>
              <a:ext cx="2277290" cy="100251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32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𝑧</a:t>
              </a:r>
              <a:r>
                <a:rPr lang="en-US" sz="3200" b="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=(𝑊−</a:t>
              </a:r>
              <a:r>
                <a:rPr lang="en-US" sz="320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3200" i="0">
                  <a:solidFill>
                    <a:schemeClr val="tx2"/>
                  </a:solidFill>
                  <a:latin typeface="Cambria Math" panose="02040503050406030204" pitchFamily="18" charset="0"/>
                </a:rPr>
                <a:t>𝑊</a:t>
              </a:r>
              <a:r>
                <a:rPr lang="en-US" sz="3200" b="0" i="0">
                  <a:solidFill>
                    <a:schemeClr val="tx2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)/𝜎_𝑊 </a:t>
              </a:r>
              <a:endParaRPr lang="en-US" sz="3200">
                <a:solidFill>
                  <a:schemeClr val="tx2"/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3778-9941-4FD0-A4C0-3103EA56ECCB}">
  <dimension ref="A1:I51"/>
  <sheetViews>
    <sheetView tabSelected="1" topLeftCell="G1" zoomScaleNormal="100" workbookViewId="0">
      <selection activeCell="K6" sqref="K6"/>
    </sheetView>
  </sheetViews>
  <sheetFormatPr defaultRowHeight="15" x14ac:dyDescent="0.25"/>
  <cols>
    <col min="1" max="1" width="13.140625" bestFit="1" customWidth="1"/>
    <col min="2" max="2" width="15.5703125" bestFit="1" customWidth="1"/>
    <col min="4" max="4" width="15.5703125" bestFit="1" customWidth="1"/>
    <col min="8" max="8" width="15.5703125" bestFit="1" customWidth="1"/>
    <col min="9" max="9" width="13" bestFit="1" customWidth="1"/>
  </cols>
  <sheetData>
    <row r="1" spans="1:9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H1" t="s">
        <v>5</v>
      </c>
    </row>
    <row r="2" spans="1:9" x14ac:dyDescent="0.25">
      <c r="A2" s="3">
        <v>5</v>
      </c>
      <c r="B2" s="4">
        <v>9</v>
      </c>
      <c r="D2" s="1" t="s">
        <v>0</v>
      </c>
      <c r="E2" s="1">
        <f>A2</f>
        <v>5</v>
      </c>
      <c r="F2" s="1">
        <f>_xlfn.RANK.AVG(E2,$E$2:$E$51,1)</f>
        <v>18.5</v>
      </c>
      <c r="H2" t="s">
        <v>0</v>
      </c>
      <c r="I2">
        <f>SUM(F2:F26)</f>
        <v>514</v>
      </c>
    </row>
    <row r="3" spans="1:9" x14ac:dyDescent="0.25">
      <c r="A3" s="3">
        <v>8</v>
      </c>
      <c r="B3" s="4">
        <v>8</v>
      </c>
      <c r="D3" s="1" t="s">
        <v>0</v>
      </c>
      <c r="E3" s="1">
        <f t="shared" ref="E3:E26" si="0">A3</f>
        <v>8</v>
      </c>
      <c r="F3" s="1">
        <f t="shared" ref="F3:F26" si="1">_xlfn.RANK.AVG(E3,$E$2:$E$51,1)</f>
        <v>39</v>
      </c>
      <c r="H3" t="s">
        <v>1</v>
      </c>
      <c r="I3">
        <f>SUM(F27:F51)</f>
        <v>761</v>
      </c>
    </row>
    <row r="4" spans="1:9" x14ac:dyDescent="0.25">
      <c r="A4" s="3">
        <v>4</v>
      </c>
      <c r="B4" s="4">
        <v>3</v>
      </c>
      <c r="D4" s="1" t="s">
        <v>0</v>
      </c>
      <c r="E4" s="1">
        <f t="shared" si="0"/>
        <v>4</v>
      </c>
      <c r="F4" s="1">
        <f t="shared" si="1"/>
        <v>11</v>
      </c>
    </row>
    <row r="5" spans="1:9" x14ac:dyDescent="0.25">
      <c r="A5" s="3">
        <v>4</v>
      </c>
      <c r="B5" s="4">
        <v>4</v>
      </c>
      <c r="D5" s="1" t="s">
        <v>0</v>
      </c>
      <c r="E5" s="1">
        <f t="shared" si="0"/>
        <v>4</v>
      </c>
      <c r="F5" s="1">
        <f t="shared" si="1"/>
        <v>11</v>
      </c>
      <c r="H5" t="s">
        <v>7</v>
      </c>
      <c r="I5">
        <f>COUNT(A:A)</f>
        <v>25</v>
      </c>
    </row>
    <row r="6" spans="1:9" x14ac:dyDescent="0.25">
      <c r="A6" s="3">
        <v>7</v>
      </c>
      <c r="B6" s="4">
        <v>10</v>
      </c>
      <c r="D6" s="1" t="s">
        <v>0</v>
      </c>
      <c r="E6" s="1">
        <f t="shared" si="0"/>
        <v>7</v>
      </c>
      <c r="F6" s="1">
        <f t="shared" si="1"/>
        <v>30.5</v>
      </c>
      <c r="H6" t="s">
        <v>8</v>
      </c>
      <c r="I6">
        <f>COUNT(B:B)</f>
        <v>25</v>
      </c>
    </row>
    <row r="7" spans="1:9" x14ac:dyDescent="0.25">
      <c r="A7" s="3">
        <v>6</v>
      </c>
      <c r="B7" s="4">
        <v>5</v>
      </c>
      <c r="D7" s="1" t="s">
        <v>0</v>
      </c>
      <c r="E7" s="1">
        <f t="shared" si="0"/>
        <v>6</v>
      </c>
      <c r="F7" s="1">
        <f t="shared" si="1"/>
        <v>23.5</v>
      </c>
    </row>
    <row r="8" spans="1:9" ht="18" x14ac:dyDescent="0.35">
      <c r="A8" s="3">
        <v>7</v>
      </c>
      <c r="B8" s="4">
        <v>10</v>
      </c>
      <c r="D8" s="1" t="s">
        <v>0</v>
      </c>
      <c r="E8" s="1">
        <f t="shared" si="0"/>
        <v>7</v>
      </c>
      <c r="F8" s="1">
        <f t="shared" si="1"/>
        <v>30.5</v>
      </c>
      <c r="H8" s="5" t="s">
        <v>10</v>
      </c>
      <c r="I8">
        <f xml:space="preserve"> (I5*(I5+I6+1))/2</f>
        <v>637.5</v>
      </c>
    </row>
    <row r="9" spans="1:9" ht="18" x14ac:dyDescent="0.35">
      <c r="A9" s="3">
        <v>6</v>
      </c>
      <c r="B9" s="4">
        <v>9</v>
      </c>
      <c r="D9" s="1" t="s">
        <v>0</v>
      </c>
      <c r="E9" s="1">
        <f t="shared" si="0"/>
        <v>6</v>
      </c>
      <c r="F9" s="1">
        <f t="shared" si="1"/>
        <v>23.5</v>
      </c>
      <c r="H9" s="5" t="s">
        <v>11</v>
      </c>
      <c r="I9">
        <f>SQRT( (I5*I6*(I5+I6+1) )/12)</f>
        <v>51.538820320220758</v>
      </c>
    </row>
    <row r="10" spans="1:9" x14ac:dyDescent="0.25">
      <c r="A10" s="3">
        <v>7</v>
      </c>
      <c r="B10" s="4">
        <v>4</v>
      </c>
      <c r="D10" s="1" t="s">
        <v>0</v>
      </c>
      <c r="E10" s="1">
        <f t="shared" si="0"/>
        <v>7</v>
      </c>
      <c r="F10" s="1">
        <f t="shared" si="1"/>
        <v>30.5</v>
      </c>
    </row>
    <row r="11" spans="1:9" x14ac:dyDescent="0.25">
      <c r="A11" s="3">
        <v>8</v>
      </c>
      <c r="B11" s="4">
        <v>10</v>
      </c>
      <c r="D11" s="1" t="s">
        <v>0</v>
      </c>
      <c r="E11" s="1">
        <f t="shared" si="0"/>
        <v>8</v>
      </c>
      <c r="F11" s="1">
        <f t="shared" si="1"/>
        <v>39</v>
      </c>
      <c r="H11" t="s">
        <v>6</v>
      </c>
      <c r="I11">
        <f>(I2-I8)/I9</f>
        <v>-2.3962519753589699</v>
      </c>
    </row>
    <row r="12" spans="1:9" x14ac:dyDescent="0.25">
      <c r="A12" s="3">
        <v>6</v>
      </c>
      <c r="B12" s="4">
        <v>3</v>
      </c>
      <c r="D12" s="1" t="s">
        <v>0</v>
      </c>
      <c r="E12" s="1">
        <f t="shared" si="0"/>
        <v>6</v>
      </c>
      <c r="F12" s="1">
        <f t="shared" si="1"/>
        <v>23.5</v>
      </c>
      <c r="H12" t="s">
        <v>9</v>
      </c>
      <c r="I12">
        <f>_xlfn.NORM.S.DIST(I11,1)</f>
        <v>8.2818496222702796E-3</v>
      </c>
    </row>
    <row r="13" spans="1:9" x14ac:dyDescent="0.25">
      <c r="A13" s="3">
        <v>4</v>
      </c>
      <c r="B13" s="4">
        <v>7</v>
      </c>
      <c r="D13" s="1" t="s">
        <v>0</v>
      </c>
      <c r="E13" s="1">
        <f t="shared" si="0"/>
        <v>4</v>
      </c>
      <c r="F13" s="1">
        <f t="shared" si="1"/>
        <v>11</v>
      </c>
    </row>
    <row r="14" spans="1:9" x14ac:dyDescent="0.25">
      <c r="A14" s="3">
        <v>8</v>
      </c>
      <c r="B14" s="4">
        <v>10</v>
      </c>
      <c r="D14" s="1" t="s">
        <v>0</v>
      </c>
      <c r="E14" s="1">
        <f t="shared" si="0"/>
        <v>8</v>
      </c>
      <c r="F14" s="1">
        <f t="shared" si="1"/>
        <v>39</v>
      </c>
      <c r="H14" t="s">
        <v>12</v>
      </c>
      <c r="I14">
        <v>0.05</v>
      </c>
    </row>
    <row r="15" spans="1:9" x14ac:dyDescent="0.25">
      <c r="A15" s="3">
        <v>5</v>
      </c>
      <c r="B15" s="4">
        <v>7</v>
      </c>
      <c r="D15" s="1" t="s">
        <v>0</v>
      </c>
      <c r="E15" s="1">
        <f t="shared" si="0"/>
        <v>5</v>
      </c>
      <c r="F15" s="1">
        <f t="shared" si="1"/>
        <v>18.5</v>
      </c>
    </row>
    <row r="16" spans="1:9" x14ac:dyDescent="0.25">
      <c r="A16" s="3">
        <v>3</v>
      </c>
      <c r="B16" s="4">
        <v>9</v>
      </c>
      <c r="D16" s="1" t="s">
        <v>0</v>
      </c>
      <c r="E16" s="1">
        <f t="shared" si="0"/>
        <v>3</v>
      </c>
      <c r="F16" s="1">
        <f t="shared" si="1"/>
        <v>4</v>
      </c>
      <c r="H16" t="s">
        <v>13</v>
      </c>
      <c r="I16" t="str">
        <f>IF(I12&lt;I14,"reject","fail to reject")</f>
        <v>reject</v>
      </c>
    </row>
    <row r="17" spans="1:6" x14ac:dyDescent="0.25">
      <c r="A17" s="3">
        <v>3</v>
      </c>
      <c r="B17" s="4">
        <v>7</v>
      </c>
      <c r="D17" s="1" t="s">
        <v>0</v>
      </c>
      <c r="E17" s="1">
        <f t="shared" si="0"/>
        <v>3</v>
      </c>
      <c r="F17" s="1">
        <f t="shared" si="1"/>
        <v>4</v>
      </c>
    </row>
    <row r="18" spans="1:6" x14ac:dyDescent="0.25">
      <c r="A18" s="3">
        <v>5</v>
      </c>
      <c r="B18" s="4">
        <v>4</v>
      </c>
      <c r="D18" s="1" t="s">
        <v>0</v>
      </c>
      <c r="E18" s="1">
        <f t="shared" si="0"/>
        <v>5</v>
      </c>
      <c r="F18" s="1">
        <f t="shared" si="1"/>
        <v>18.5</v>
      </c>
    </row>
    <row r="19" spans="1:6" x14ac:dyDescent="0.25">
      <c r="A19" s="3">
        <v>8</v>
      </c>
      <c r="B19" s="4">
        <v>7</v>
      </c>
      <c r="D19" s="1" t="s">
        <v>0</v>
      </c>
      <c r="E19" s="1">
        <f t="shared" si="0"/>
        <v>8</v>
      </c>
      <c r="F19" s="1">
        <f t="shared" si="1"/>
        <v>39</v>
      </c>
    </row>
    <row r="20" spans="1:6" x14ac:dyDescent="0.25">
      <c r="A20" s="3">
        <v>4</v>
      </c>
      <c r="B20" s="4">
        <v>8</v>
      </c>
      <c r="D20" s="1" t="s">
        <v>0</v>
      </c>
      <c r="E20" s="1">
        <f t="shared" si="0"/>
        <v>4</v>
      </c>
      <c r="F20" s="1">
        <f t="shared" si="1"/>
        <v>11</v>
      </c>
    </row>
    <row r="21" spans="1:6" x14ac:dyDescent="0.25">
      <c r="A21" s="3">
        <v>2</v>
      </c>
      <c r="B21" s="4">
        <v>4</v>
      </c>
      <c r="D21" s="1" t="s">
        <v>0</v>
      </c>
      <c r="E21" s="1">
        <f t="shared" si="0"/>
        <v>2</v>
      </c>
      <c r="F21" s="1">
        <f t="shared" si="1"/>
        <v>1</v>
      </c>
    </row>
    <row r="22" spans="1:6" x14ac:dyDescent="0.25">
      <c r="A22" s="3">
        <v>4</v>
      </c>
      <c r="B22" s="4">
        <v>7</v>
      </c>
      <c r="D22" s="1" t="s">
        <v>0</v>
      </c>
      <c r="E22" s="1">
        <f t="shared" si="0"/>
        <v>4</v>
      </c>
      <c r="F22" s="1">
        <f t="shared" si="1"/>
        <v>11</v>
      </c>
    </row>
    <row r="23" spans="1:6" x14ac:dyDescent="0.25">
      <c r="A23" s="3">
        <v>7</v>
      </c>
      <c r="B23" s="4">
        <v>8</v>
      </c>
      <c r="D23" s="1" t="s">
        <v>0</v>
      </c>
      <c r="E23" s="1">
        <f t="shared" si="0"/>
        <v>7</v>
      </c>
      <c r="F23" s="1">
        <f t="shared" si="1"/>
        <v>30.5</v>
      </c>
    </row>
    <row r="24" spans="1:6" x14ac:dyDescent="0.25">
      <c r="A24" s="3">
        <v>5</v>
      </c>
      <c r="B24" s="4">
        <v>10</v>
      </c>
      <c r="D24" s="1" t="s">
        <v>0</v>
      </c>
      <c r="E24" s="1">
        <f t="shared" si="0"/>
        <v>5</v>
      </c>
      <c r="F24" s="1">
        <f t="shared" si="1"/>
        <v>18.5</v>
      </c>
    </row>
    <row r="25" spans="1:6" x14ac:dyDescent="0.25">
      <c r="A25" s="3">
        <v>6</v>
      </c>
      <c r="B25" s="4">
        <v>5</v>
      </c>
      <c r="D25" s="1" t="s">
        <v>0</v>
      </c>
      <c r="E25" s="1">
        <f t="shared" si="0"/>
        <v>6</v>
      </c>
      <c r="F25" s="1">
        <f t="shared" si="1"/>
        <v>23.5</v>
      </c>
    </row>
    <row r="26" spans="1:6" x14ac:dyDescent="0.25">
      <c r="A26" s="3">
        <v>3</v>
      </c>
      <c r="B26" s="4">
        <v>7</v>
      </c>
      <c r="D26" s="1" t="s">
        <v>0</v>
      </c>
      <c r="E26" s="1">
        <f t="shared" si="0"/>
        <v>3</v>
      </c>
      <c r="F26" s="1">
        <f t="shared" si="1"/>
        <v>4</v>
      </c>
    </row>
    <row r="27" spans="1:6" x14ac:dyDescent="0.25">
      <c r="D27" s="2" t="s">
        <v>1</v>
      </c>
      <c r="E27" s="2">
        <f>B2</f>
        <v>9</v>
      </c>
      <c r="F27" s="2">
        <f>_xlfn.RANK.AVG(E27,$E$2:$E$51,1)</f>
        <v>44</v>
      </c>
    </row>
    <row r="28" spans="1:6" x14ac:dyDescent="0.25">
      <c r="D28" s="2" t="s">
        <v>1</v>
      </c>
      <c r="E28" s="2">
        <f t="shared" ref="E28:E51" si="2">B3</f>
        <v>8</v>
      </c>
      <c r="F28" s="2">
        <f t="shared" ref="F28:F51" si="3">_xlfn.RANK.AVG(E28,$E$2:$E$51,1)</f>
        <v>39</v>
      </c>
    </row>
    <row r="29" spans="1:6" x14ac:dyDescent="0.25">
      <c r="D29" s="2" t="s">
        <v>1</v>
      </c>
      <c r="E29" s="2">
        <f t="shared" si="2"/>
        <v>3</v>
      </c>
      <c r="F29" s="2">
        <f t="shared" si="3"/>
        <v>4</v>
      </c>
    </row>
    <row r="30" spans="1:6" x14ac:dyDescent="0.25">
      <c r="D30" s="2" t="s">
        <v>1</v>
      </c>
      <c r="E30" s="2">
        <f t="shared" si="2"/>
        <v>4</v>
      </c>
      <c r="F30" s="2">
        <f t="shared" si="3"/>
        <v>11</v>
      </c>
    </row>
    <row r="31" spans="1:6" x14ac:dyDescent="0.25">
      <c r="D31" s="2" t="s">
        <v>1</v>
      </c>
      <c r="E31" s="2">
        <f t="shared" si="2"/>
        <v>10</v>
      </c>
      <c r="F31" s="2">
        <f t="shared" si="3"/>
        <v>48</v>
      </c>
    </row>
    <row r="32" spans="1:6" x14ac:dyDescent="0.25">
      <c r="D32" s="2" t="s">
        <v>1</v>
      </c>
      <c r="E32" s="2">
        <f t="shared" si="2"/>
        <v>5</v>
      </c>
      <c r="F32" s="2">
        <f t="shared" si="3"/>
        <v>18.5</v>
      </c>
    </row>
    <row r="33" spans="4:6" x14ac:dyDescent="0.25">
      <c r="D33" s="2" t="s">
        <v>1</v>
      </c>
      <c r="E33" s="2">
        <f t="shared" si="2"/>
        <v>10</v>
      </c>
      <c r="F33" s="2">
        <f t="shared" si="3"/>
        <v>48</v>
      </c>
    </row>
    <row r="34" spans="4:6" x14ac:dyDescent="0.25">
      <c r="D34" s="2" t="s">
        <v>1</v>
      </c>
      <c r="E34" s="2">
        <f t="shared" si="2"/>
        <v>9</v>
      </c>
      <c r="F34" s="2">
        <f t="shared" si="3"/>
        <v>44</v>
      </c>
    </row>
    <row r="35" spans="4:6" x14ac:dyDescent="0.25">
      <c r="D35" s="2" t="s">
        <v>1</v>
      </c>
      <c r="E35" s="2">
        <f t="shared" si="2"/>
        <v>4</v>
      </c>
      <c r="F35" s="2">
        <f t="shared" si="3"/>
        <v>11</v>
      </c>
    </row>
    <row r="36" spans="4:6" x14ac:dyDescent="0.25">
      <c r="D36" s="2" t="s">
        <v>1</v>
      </c>
      <c r="E36" s="2">
        <f t="shared" si="2"/>
        <v>10</v>
      </c>
      <c r="F36" s="2">
        <f t="shared" si="3"/>
        <v>48</v>
      </c>
    </row>
    <row r="37" spans="4:6" x14ac:dyDescent="0.25">
      <c r="D37" s="2" t="s">
        <v>1</v>
      </c>
      <c r="E37" s="2">
        <f t="shared" si="2"/>
        <v>3</v>
      </c>
      <c r="F37" s="2">
        <f t="shared" si="3"/>
        <v>4</v>
      </c>
    </row>
    <row r="38" spans="4:6" x14ac:dyDescent="0.25">
      <c r="D38" s="2" t="s">
        <v>1</v>
      </c>
      <c r="E38" s="2">
        <f t="shared" si="2"/>
        <v>7</v>
      </c>
      <c r="F38" s="2">
        <f t="shared" si="3"/>
        <v>30.5</v>
      </c>
    </row>
    <row r="39" spans="4:6" x14ac:dyDescent="0.25">
      <c r="D39" s="2" t="s">
        <v>1</v>
      </c>
      <c r="E39" s="2">
        <f t="shared" si="2"/>
        <v>10</v>
      </c>
      <c r="F39" s="2">
        <f t="shared" si="3"/>
        <v>48</v>
      </c>
    </row>
    <row r="40" spans="4:6" x14ac:dyDescent="0.25">
      <c r="D40" s="2" t="s">
        <v>1</v>
      </c>
      <c r="E40" s="2">
        <f t="shared" si="2"/>
        <v>7</v>
      </c>
      <c r="F40" s="2">
        <f t="shared" si="3"/>
        <v>30.5</v>
      </c>
    </row>
    <row r="41" spans="4:6" x14ac:dyDescent="0.25">
      <c r="D41" s="2" t="s">
        <v>1</v>
      </c>
      <c r="E41" s="2">
        <f t="shared" si="2"/>
        <v>9</v>
      </c>
      <c r="F41" s="2">
        <f t="shared" si="3"/>
        <v>44</v>
      </c>
    </row>
    <row r="42" spans="4:6" x14ac:dyDescent="0.25">
      <c r="D42" s="2" t="s">
        <v>1</v>
      </c>
      <c r="E42" s="2">
        <f t="shared" si="2"/>
        <v>7</v>
      </c>
      <c r="F42" s="2">
        <f t="shared" si="3"/>
        <v>30.5</v>
      </c>
    </row>
    <row r="43" spans="4:6" x14ac:dyDescent="0.25">
      <c r="D43" s="2" t="s">
        <v>1</v>
      </c>
      <c r="E43" s="2">
        <f t="shared" si="2"/>
        <v>4</v>
      </c>
      <c r="F43" s="2">
        <f t="shared" si="3"/>
        <v>11</v>
      </c>
    </row>
    <row r="44" spans="4:6" x14ac:dyDescent="0.25">
      <c r="D44" s="2" t="s">
        <v>1</v>
      </c>
      <c r="E44" s="2">
        <f t="shared" si="2"/>
        <v>7</v>
      </c>
      <c r="F44" s="2">
        <f t="shared" si="3"/>
        <v>30.5</v>
      </c>
    </row>
    <row r="45" spans="4:6" x14ac:dyDescent="0.25">
      <c r="D45" s="2" t="s">
        <v>1</v>
      </c>
      <c r="E45" s="2">
        <f t="shared" si="2"/>
        <v>8</v>
      </c>
      <c r="F45" s="2">
        <f t="shared" si="3"/>
        <v>39</v>
      </c>
    </row>
    <row r="46" spans="4:6" x14ac:dyDescent="0.25">
      <c r="D46" s="2" t="s">
        <v>1</v>
      </c>
      <c r="E46" s="2">
        <f t="shared" si="2"/>
        <v>4</v>
      </c>
      <c r="F46" s="2">
        <f t="shared" si="3"/>
        <v>11</v>
      </c>
    </row>
    <row r="47" spans="4:6" x14ac:dyDescent="0.25">
      <c r="D47" s="2" t="s">
        <v>1</v>
      </c>
      <c r="E47" s="2">
        <f t="shared" si="2"/>
        <v>7</v>
      </c>
      <c r="F47" s="2">
        <f t="shared" si="3"/>
        <v>30.5</v>
      </c>
    </row>
    <row r="48" spans="4:6" x14ac:dyDescent="0.25">
      <c r="D48" s="2" t="s">
        <v>1</v>
      </c>
      <c r="E48" s="2">
        <f t="shared" si="2"/>
        <v>8</v>
      </c>
      <c r="F48" s="2">
        <f t="shared" si="3"/>
        <v>39</v>
      </c>
    </row>
    <row r="49" spans="4:6" x14ac:dyDescent="0.25">
      <c r="D49" s="2" t="s">
        <v>1</v>
      </c>
      <c r="E49" s="2">
        <f t="shared" si="2"/>
        <v>10</v>
      </c>
      <c r="F49" s="2">
        <f t="shared" si="3"/>
        <v>48</v>
      </c>
    </row>
    <row r="50" spans="4:6" x14ac:dyDescent="0.25">
      <c r="D50" s="2" t="s">
        <v>1</v>
      </c>
      <c r="E50" s="2">
        <f t="shared" si="2"/>
        <v>5</v>
      </c>
      <c r="F50" s="2">
        <f t="shared" si="3"/>
        <v>18.5</v>
      </c>
    </row>
    <row r="51" spans="4:6" x14ac:dyDescent="0.25">
      <c r="D51" s="2" t="s">
        <v>1</v>
      </c>
      <c r="E51" s="2">
        <f t="shared" si="2"/>
        <v>7</v>
      </c>
      <c r="F51" s="2">
        <f t="shared" si="3"/>
        <v>30.5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 CORZO</cp:lastModifiedBy>
  <dcterms:created xsi:type="dcterms:W3CDTF">2019-12-03T22:09:12Z</dcterms:created>
  <dcterms:modified xsi:type="dcterms:W3CDTF">2020-11-01T02:41:43Z</dcterms:modified>
</cp:coreProperties>
</file>