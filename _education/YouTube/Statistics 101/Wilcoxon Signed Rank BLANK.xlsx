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___Me-Youtube-Cursos___\Statistics 101\"/>
    </mc:Choice>
  </mc:AlternateContent>
  <xr:revisionPtr revIDLastSave="0" documentId="13_ncr:1_{476BF4F4-9E18-4D62-8325-9D2AD80B1A50}" xr6:coauthVersionLast="45" xr6:coauthVersionMax="45" xr10:uidLastSave="{00000000-0000-0000-0000-000000000000}"/>
  <bookViews>
    <workbookView xWindow="1950" yWindow="1560" windowWidth="14100" windowHeight="14640" xr2:uid="{12D36F9E-BD1B-4D7C-9857-E9D23F76BC79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0" i="4" l="1"/>
  <c r="I27" i="4"/>
  <c r="I31" i="4" l="1"/>
  <c r="L3" i="4" s="1"/>
  <c r="L2" i="4"/>
  <c r="L8" i="4" s="1"/>
  <c r="L9" i="4" s="1"/>
  <c r="L10" i="4" s="1"/>
  <c r="L14" i="4" s="1"/>
  <c r="H27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G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D2" i="4"/>
  <c r="E2" i="4" s="1"/>
  <c r="D3" i="4"/>
  <c r="E3" i="4" s="1"/>
  <c r="D4" i="4"/>
  <c r="E4" i="4" s="1"/>
  <c r="G4" i="4" s="1"/>
  <c r="D5" i="4"/>
  <c r="E5" i="4" s="1"/>
  <c r="G5" i="4" s="1"/>
  <c r="D6" i="4"/>
  <c r="E6" i="4" s="1"/>
  <c r="G6" i="4" s="1"/>
  <c r="D7" i="4"/>
  <c r="E7" i="4" s="1"/>
  <c r="D8" i="4"/>
  <c r="E8" i="4" s="1"/>
  <c r="D9" i="4"/>
  <c r="E9" i="4" s="1"/>
  <c r="D10" i="4"/>
  <c r="E10" i="4" s="1"/>
  <c r="D11" i="4"/>
  <c r="E11" i="4" s="1"/>
  <c r="G11" i="4" s="1"/>
  <c r="D12" i="4"/>
  <c r="E12" i="4" s="1"/>
  <c r="D13" i="4"/>
  <c r="E13" i="4" s="1"/>
  <c r="D14" i="4"/>
  <c r="E14" i="4" s="1"/>
  <c r="D15" i="4"/>
  <c r="E15" i="4" s="1"/>
  <c r="D16" i="4"/>
  <c r="E16" i="4" s="1"/>
  <c r="G16" i="4" s="1"/>
  <c r="D17" i="4"/>
  <c r="E17" i="4" s="1"/>
  <c r="G17" i="4" s="1"/>
  <c r="D18" i="4"/>
  <c r="E18" i="4" s="1"/>
  <c r="G18" i="4" s="1"/>
  <c r="D19" i="4"/>
  <c r="E19" i="4" s="1"/>
  <c r="D20" i="4"/>
  <c r="E20" i="4" s="1"/>
  <c r="D22" i="4"/>
  <c r="E22" i="4" s="1"/>
  <c r="D23" i="4"/>
  <c r="E23" i="4" s="1"/>
  <c r="D24" i="4"/>
  <c r="E24" i="4" s="1"/>
  <c r="D25" i="4"/>
  <c r="E25" i="4" s="1"/>
  <c r="D26" i="4"/>
  <c r="E26" i="4" s="1"/>
  <c r="L5" i="4" l="1"/>
  <c r="L6" i="4"/>
  <c r="G13" i="4"/>
  <c r="G25" i="4"/>
  <c r="G12" i="4"/>
  <c r="G10" i="4"/>
  <c r="G23" i="4"/>
  <c r="G22" i="4"/>
  <c r="G9" i="4"/>
  <c r="G26" i="4"/>
  <c r="G20" i="4"/>
  <c r="G8" i="4"/>
  <c r="G24" i="4"/>
  <c r="G19" i="4"/>
  <c r="G7" i="4"/>
  <c r="G3" i="4"/>
  <c r="G15" i="4"/>
  <c r="G14" i="4"/>
</calcChain>
</file>

<file path=xl/sharedStrings.xml><?xml version="1.0" encoding="utf-8"?>
<sst xmlns="http://schemas.openxmlformats.org/spreadsheetml/2006/main" count="23" uniqueCount="21">
  <si>
    <t>Video</t>
  </si>
  <si>
    <t>Difference</t>
  </si>
  <si>
    <t>T+</t>
  </si>
  <si>
    <t>Mean</t>
  </si>
  <si>
    <t>SELFIE</t>
  </si>
  <si>
    <t>NO SELFIE</t>
  </si>
  <si>
    <t>ABS Diff</t>
  </si>
  <si>
    <t>RANK Diff</t>
  </si>
  <si>
    <t>NEGATIVE</t>
  </si>
  <si>
    <t>POSITIVE</t>
  </si>
  <si>
    <t>Total</t>
  </si>
  <si>
    <t>n</t>
  </si>
  <si>
    <t>STDEV</t>
  </si>
  <si>
    <t>z</t>
  </si>
  <si>
    <t>p value</t>
  </si>
  <si>
    <t>Continuity Correction</t>
  </si>
  <si>
    <t>two-tail</t>
  </si>
  <si>
    <t>alpha</t>
  </si>
  <si>
    <t>Hypth</t>
  </si>
  <si>
    <t>Elegible</t>
  </si>
  <si>
    <t>No statistical difference to suggest there is a difference between the A method or the B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</si>
</sst>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100965</xdr:colOff>
      <xdr:row>0</xdr:row>
      <xdr:rowOff>57150</xdr:rowOff>
    </xdr:from>
    <xdr:to>
      <xdr:col>17</xdr:col>
      <xdr:colOff>46477</xdr:colOff>
      <xdr:row>4</xdr:row>
      <xdr:rowOff>3859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3">
              <a:extLst>
                <a:ext uri="{FF2B5EF4-FFF2-40B4-BE49-F238E27FC236}">
                  <a16:creationId xmlns:a16="http://schemas.microsoft.com/office/drawing/2014/main" id="{117C8AAC-B777-4594-95AE-1BDEDA218F52}"/>
                </a:ext>
              </a:extLst>
            </xdr:cNvPr>
            <xdr:cNvSpPr txBox="1"/>
          </xdr:nvSpPr>
          <xdr:spPr>
            <a:xfrm>
              <a:off x="7781925" y="57150"/>
              <a:ext cx="2993512" cy="67822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2400" b="0" i="0">
                        <a:latin typeface="Cambria Math" panose="02040503050406030204" pitchFamily="18" charset="0"/>
                      </a:rPr>
                      <m:t>Mean</m:t>
                    </m:r>
                    <m:r>
                      <m:rPr>
                        <m:nor/>
                      </m:rPr>
                      <a:rPr lang="en-US" sz="2400" b="0" i="0">
                        <a:latin typeface="Cambria Math" panose="02040503050406030204" pitchFamily="18" charset="0"/>
                      </a:rPr>
                      <m:t>: </m:t>
                    </m:r>
                    <m:sSub>
                      <m:sSub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sSup>
                          <m:sSupPr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p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</m:sup>
                        </m:sSup>
                      </m:sub>
                    </m:sSub>
                    <m:r>
                      <a:rPr lang="en-US" sz="2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+1)</m:t>
                        </m:r>
                      </m:num>
                      <m:den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2" name="TextBox 3">
              <a:extLst>
                <a:ext uri="{FF2B5EF4-FFF2-40B4-BE49-F238E27FC236}">
                  <a16:creationId xmlns:a16="http://schemas.microsoft.com/office/drawing/2014/main" id="{117C8AAC-B777-4594-95AE-1BDEDA218F52}"/>
                </a:ext>
              </a:extLst>
            </xdr:cNvPr>
            <xdr:cNvSpPr txBox="1"/>
          </xdr:nvSpPr>
          <xdr:spPr>
            <a:xfrm>
              <a:off x="7781925" y="57150"/>
              <a:ext cx="2993512" cy="67822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"Mean: " 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n-US" sz="2400" b="0" i="0">
                  <a:latin typeface="Cambria Math" panose="02040503050406030204" pitchFamily="18" charset="0"/>
                </a:rPr>
                <a:t>𝑇^+ )=(𝑛(𝑛+1))/4</a:t>
              </a:r>
              <a:endParaRPr lang="en-US" sz="2400"/>
            </a:p>
          </xdr:txBody>
        </xdr:sp>
      </mc:Fallback>
    </mc:AlternateContent>
    <xdr:clientData/>
  </xdr:twoCellAnchor>
  <xdr:twoCellAnchor>
    <xdr:from>
      <xdr:col>12</xdr:col>
      <xdr:colOff>100965</xdr:colOff>
      <xdr:row>4</xdr:row>
      <xdr:rowOff>108954</xdr:rowOff>
    </xdr:from>
    <xdr:to>
      <xdr:col>22</xdr:col>
      <xdr:colOff>169345</xdr:colOff>
      <xdr:row>10</xdr:row>
      <xdr:rowOff>57150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AD6035CA-C8DC-4818-BC96-5981F7E7194B}"/>
                </a:ext>
              </a:extLst>
            </xdr:cNvPr>
            <xdr:cNvSpPr txBox="1"/>
          </xdr:nvSpPr>
          <xdr:spPr>
            <a:xfrm>
              <a:off x="7781925" y="840474"/>
              <a:ext cx="6164380" cy="104547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2400" b="0" i="0">
                        <a:latin typeface="Cambria Math" panose="02040503050406030204" pitchFamily="18" charset="0"/>
                      </a:rPr>
                      <m:t>Standard</m:t>
                    </m:r>
                    <m:r>
                      <m:rPr>
                        <m:nor/>
                      </m:rPr>
                      <a:rPr lang="en-US" sz="24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b="0" i="0">
                        <a:latin typeface="Cambria Math" panose="02040503050406030204" pitchFamily="18" charset="0"/>
                      </a:rPr>
                      <m:t>deviation</m:t>
                    </m:r>
                    <m:r>
                      <m:rPr>
                        <m:nor/>
                      </m:rPr>
                      <a:rPr lang="en-US" sz="2400" b="0" i="0">
                        <a:latin typeface="Cambria Math" panose="02040503050406030204" pitchFamily="18" charset="0"/>
                      </a:rPr>
                      <m:t>: </m:t>
                    </m:r>
                    <m:sSub>
                      <m:sSub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sSup>
                          <m:sSupPr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p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</m:sup>
                        </m:sSup>
                      </m:sub>
                    </m:sSub>
                    <m:r>
                      <a:rPr lang="en-US" sz="24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+1)(2</m:t>
                            </m:r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+1)</m:t>
                            </m:r>
                          </m:num>
                          <m:den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24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AD6035CA-C8DC-4818-BC96-5981F7E7194B}"/>
                </a:ext>
              </a:extLst>
            </xdr:cNvPr>
            <xdr:cNvSpPr txBox="1"/>
          </xdr:nvSpPr>
          <xdr:spPr>
            <a:xfrm>
              <a:off x="7781925" y="840474"/>
              <a:ext cx="6164380" cy="104547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"Standard deviation: " 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𝜎_(</a:t>
              </a:r>
              <a:r>
                <a:rPr lang="en-US" sz="2400" b="0" i="0">
                  <a:latin typeface="Cambria Math" panose="02040503050406030204" pitchFamily="18" charset="0"/>
                </a:rPr>
                <a:t>𝑇^+ )=√((𝑛(𝑛+1)(2𝑛+1))/24)</a:t>
              </a:r>
              <a:endParaRPr lang="en-US" sz="2400"/>
            </a:p>
          </xdr:txBody>
        </xdr:sp>
      </mc:Fallback>
    </mc:AlternateContent>
    <xdr:clientData/>
  </xdr:twoCellAnchor>
  <xdr:twoCellAnchor>
    <xdr:from>
      <xdr:col>12</xdr:col>
      <xdr:colOff>121920</xdr:colOff>
      <xdr:row>10</xdr:row>
      <xdr:rowOff>156210</xdr:rowOff>
    </xdr:from>
    <xdr:to>
      <xdr:col>15</xdr:col>
      <xdr:colOff>153245</xdr:colOff>
      <xdr:row>15</xdr:row>
      <xdr:rowOff>110253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39FBFD9-9790-498B-B31B-2A96DAF3AEDB}"/>
                </a:ext>
              </a:extLst>
            </xdr:cNvPr>
            <xdr:cNvSpPr txBox="1"/>
          </xdr:nvSpPr>
          <xdr:spPr>
            <a:xfrm>
              <a:off x="7802880" y="1985010"/>
              <a:ext cx="1860125" cy="86844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𝑧</m:t>
                    </m:r>
                    <m:r>
                      <a:rPr lang="en-US" sz="24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4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2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2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p>
                            <m:r>
                              <a:rPr lang="en-US" sz="2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</m:sup>
                        </m:sSup>
                        <m:r>
                          <a:rPr lang="en-US" sz="24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2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sSubSup>
                              <m:sSubSupPr>
                                <m:ctrlPr>
                                  <a:rPr lang="en-US" sz="2400" b="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2400" b="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/>
                              <m:sup>
                                <m:r>
                                  <a:rPr lang="en-US" sz="2400" b="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bSup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sSup>
                              <m:sSupPr>
                                <m:ctrlPr>
                                  <a:rPr lang="en-US" sz="2400" b="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2400" b="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p>
                                <m:r>
                                  <a:rPr lang="en-US" sz="2400" b="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p>
                          </m:sub>
                        </m:sSub>
                      </m:den>
                    </m:f>
                  </m:oMath>
                </m:oMathPara>
              </a14:m>
              <a:endParaRPr lang="en-US" sz="240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39FBFD9-9790-498B-B31B-2A96DAF3AEDB}"/>
                </a:ext>
              </a:extLst>
            </xdr:cNvPr>
            <xdr:cNvSpPr txBox="1"/>
          </xdr:nvSpPr>
          <xdr:spPr>
            <a:xfrm>
              <a:off x="7802880" y="1985010"/>
              <a:ext cx="1860125" cy="86844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4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𝑧</a:t>
              </a:r>
              <a:r>
                <a:rPr lang="en-US" sz="24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=(𝑇^+−𝜇_(𝑇_^+ ))/𝜎_(𝑇^+ ) </a:t>
              </a:r>
              <a:endParaRPr lang="en-US" sz="24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72B6A4-8380-4AB4-B523-D0290AF92E17}" name="Table24" displayName="Table24" ref="A1:I27" totalsRowCount="1">
  <autoFilter ref="A1:I26" xr:uid="{72B18247-8B1D-4701-9C23-80A1721B7FFE}"/>
  <sortState xmlns:xlrd2="http://schemas.microsoft.com/office/spreadsheetml/2017/richdata2" ref="A2:I26">
    <sortCondition ref="A1:A26"/>
  </sortState>
  <tableColumns count="9">
    <tableColumn id="1" xr3:uid="{944CD31E-E7BF-4A32-9606-617014636A46}" name="Video" totalsRowLabel="Total"/>
    <tableColumn id="2" xr3:uid="{EC757031-2A53-46C4-823C-CE5BE5509A64}" name="SELFIE"/>
    <tableColumn id="3" xr3:uid="{208E5D87-703A-4EB0-A6F3-27E4BB713FA9}" name="NO SELFIE"/>
    <tableColumn id="4" xr3:uid="{A4E06D58-B381-49DE-89F5-BD349099B946}" name="Difference" dataDxfId="5">
      <calculatedColumnFormula>Table24[[#This Row],[SELFIE]]-Table24[[#This Row],[NO SELFIE]]</calculatedColumnFormula>
    </tableColumn>
    <tableColumn id="5" xr3:uid="{09769BEB-B0F2-4158-952B-B5A148E2B61C}" name="ABS Diff" dataDxfId="4">
      <calculatedColumnFormula>ABS(Table24[[#This Row],[Difference]])</calculatedColumnFormula>
    </tableColumn>
    <tableColumn id="9" xr3:uid="{82297B05-B685-4762-B227-80B790F681C6}" name="Elegible" dataDxfId="3">
      <calculatedColumnFormula>IF(Table24[[#This Row],[ABS Diff]] = 0,"",Table24[[#This Row],[ABS Diff]])</calculatedColumnFormula>
    </tableColumn>
    <tableColumn id="6" xr3:uid="{FE8BA872-273F-40D3-99B4-17B20DC283F9}" name="RANK Diff" dataDxfId="2">
      <calculatedColumnFormula>_xlfn.RANK.AVG(Table24[[#This Row],[ABS Diff]],Table24[ABS Diff],1)</calculatedColumnFormula>
    </tableColumn>
    <tableColumn id="7" xr3:uid="{3191E783-9F55-4908-A75E-4063CBC0219F}" name="NEGATIVE" totalsRowFunction="custom" dataDxfId="1">
      <calculatedColumnFormula>IF(Table24[[#This Row],[Difference]]&lt;0,Table24[[#This Row],[RANK Diff]],"")</calculatedColumnFormula>
      <totalsRowFormula>SUM(Table24[NEGATIVE])</totalsRowFormula>
    </tableColumn>
    <tableColumn id="8" xr3:uid="{0737943F-A655-406F-BFD9-40FE60968A06}" name="POSITIVE" totalsRowFunction="custom" dataDxfId="0">
      <calculatedColumnFormula>IF(Table24[[#This Row],[Difference]]&gt;0,Table24[[#This Row],[RANK Diff]],"")</calculatedColumnFormula>
      <totalsRowFormula>SUM(Table24[POSITIVE])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AF18-06B8-498C-B165-1F035D71A2A7}">
  <dimension ref="A1:L31"/>
  <sheetViews>
    <sheetView tabSelected="1" topLeftCell="D1" zoomScale="87" zoomScaleNormal="200" workbookViewId="0">
      <selection activeCell="K20" sqref="K20"/>
    </sheetView>
  </sheetViews>
  <sheetFormatPr defaultRowHeight="15" x14ac:dyDescent="0.25"/>
  <cols>
    <col min="2" max="2" width="14.28515625" customWidth="1"/>
    <col min="3" max="3" width="14.140625" customWidth="1"/>
    <col min="4" max="4" width="11.85546875" bestFit="1" customWidth="1"/>
    <col min="5" max="5" width="10" bestFit="1" customWidth="1"/>
    <col min="6" max="6" width="10" customWidth="1"/>
    <col min="7" max="7" width="11.42578125" bestFit="1" customWidth="1"/>
    <col min="8" max="8" width="10.28515625" customWidth="1"/>
    <col min="9" max="9" width="11" bestFit="1" customWidth="1"/>
    <col min="10" max="10" width="2.28515625" customWidth="1"/>
    <col min="12" max="12" width="13.7109375" bestFit="1" customWidth="1"/>
  </cols>
  <sheetData>
    <row r="1" spans="1:12" x14ac:dyDescent="0.25">
      <c r="A1" t="s">
        <v>0</v>
      </c>
      <c r="B1" t="s">
        <v>4</v>
      </c>
      <c r="C1" t="s">
        <v>5</v>
      </c>
      <c r="D1" t="s">
        <v>1</v>
      </c>
      <c r="E1" t="s">
        <v>6</v>
      </c>
      <c r="F1" t="s">
        <v>19</v>
      </c>
      <c r="G1" t="s">
        <v>7</v>
      </c>
      <c r="H1" t="s">
        <v>8</v>
      </c>
      <c r="I1" t="s">
        <v>9</v>
      </c>
    </row>
    <row r="2" spans="1:12" x14ac:dyDescent="0.25">
      <c r="A2">
        <v>1</v>
      </c>
      <c r="B2">
        <v>334</v>
      </c>
      <c r="C2">
        <v>351</v>
      </c>
      <c r="D2">
        <f>Table24[[#This Row],[SELFIE]]-Table24[[#This Row],[NO SELFIE]]</f>
        <v>-17</v>
      </c>
      <c r="E2">
        <f>ABS(Table24[[#This Row],[Difference]])</f>
        <v>17</v>
      </c>
      <c r="F2">
        <f>IF(Table24[[#This Row],[ABS Diff]] = 0,"",Table24[[#This Row],[ABS Diff]])</f>
        <v>17</v>
      </c>
      <c r="G2">
        <f>_xlfn.RANK.AVG(Table24[[#This Row],[Elegible]],Table24[Elegible],1)</f>
        <v>11.5</v>
      </c>
      <c r="H2" s="1">
        <f>IF(Table24[[#This Row],[Difference]]&lt;0,Table24[[#This Row],[RANK Diff]],"")</f>
        <v>11.5</v>
      </c>
      <c r="I2" s="1" t="str">
        <f>IF(Table24[[#This Row],[Difference]]&gt;0,Table24[[#This Row],[RANK Diff]],"")</f>
        <v/>
      </c>
      <c r="K2" t="s">
        <v>2</v>
      </c>
      <c r="L2">
        <f>I30</f>
        <v>211</v>
      </c>
    </row>
    <row r="3" spans="1:12" x14ac:dyDescent="0.25">
      <c r="A3">
        <v>2</v>
      </c>
      <c r="B3">
        <v>329</v>
      </c>
      <c r="C3">
        <v>349</v>
      </c>
      <c r="D3">
        <f>Table24[[#This Row],[SELFIE]]-Table24[[#This Row],[NO SELFIE]]</f>
        <v>-20</v>
      </c>
      <c r="E3">
        <f>ABS(Table24[[#This Row],[Difference]])</f>
        <v>20</v>
      </c>
      <c r="F3">
        <f>IF(Table24[[#This Row],[ABS Diff]] = 0,"",Table24[[#This Row],[ABS Diff]])</f>
        <v>20</v>
      </c>
      <c r="G3">
        <f>_xlfn.RANK.AVG(Table24[[#This Row],[ABS Diff]],Table24[ABS Diff],1)</f>
        <v>15</v>
      </c>
      <c r="H3" s="1">
        <f>IF(Table24[[#This Row],[Difference]]&lt;0,Table24[[#This Row],[RANK Diff]],"")</f>
        <v>15</v>
      </c>
      <c r="I3" s="1" t="str">
        <f>IF(Table24[[#This Row],[Difference]]&gt;0,Table24[[#This Row],[RANK Diff]],"")</f>
        <v/>
      </c>
      <c r="K3" t="s">
        <v>11</v>
      </c>
      <c r="L3">
        <f>I31</f>
        <v>24</v>
      </c>
    </row>
    <row r="4" spans="1:12" x14ac:dyDescent="0.25">
      <c r="A4">
        <v>3</v>
      </c>
      <c r="B4">
        <v>311</v>
      </c>
      <c r="C4">
        <v>277</v>
      </c>
      <c r="D4">
        <f>Table24[[#This Row],[SELFIE]]-Table24[[#This Row],[NO SELFIE]]</f>
        <v>34</v>
      </c>
      <c r="E4">
        <f>ABS(Table24[[#This Row],[Difference]])</f>
        <v>34</v>
      </c>
      <c r="F4">
        <f>IF(Table24[[#This Row],[ABS Diff]] = 0,"",Table24[[#This Row],[ABS Diff]])</f>
        <v>34</v>
      </c>
      <c r="G4">
        <f>_xlfn.RANK.AVG(Table24[[#This Row],[ABS Diff]],Table24[ABS Diff],1)</f>
        <v>18</v>
      </c>
      <c r="H4" s="1" t="str">
        <f>IF(Table24[[#This Row],[Difference]]&lt;0,Table24[[#This Row],[RANK Diff]],"")</f>
        <v/>
      </c>
      <c r="I4" s="1">
        <f>IF(Table24[[#This Row],[Difference]]&gt;0,Table24[[#This Row],[RANK Diff]],"")</f>
        <v>18</v>
      </c>
    </row>
    <row r="5" spans="1:12" x14ac:dyDescent="0.25">
      <c r="A5">
        <v>4</v>
      </c>
      <c r="B5">
        <v>341</v>
      </c>
      <c r="C5">
        <v>276</v>
      </c>
      <c r="D5">
        <f>Table24[[#This Row],[SELFIE]]-Table24[[#This Row],[NO SELFIE]]</f>
        <v>65</v>
      </c>
      <c r="E5">
        <f>ABS(Table24[[#This Row],[Difference]])</f>
        <v>65</v>
      </c>
      <c r="F5">
        <f>IF(Table24[[#This Row],[ABS Diff]] = 0,"",Table24[[#This Row],[ABS Diff]])</f>
        <v>65</v>
      </c>
      <c r="G5">
        <f>_xlfn.RANK.AVG(Table24[[#This Row],[ABS Diff]],Table24[ABS Diff],1)</f>
        <v>23</v>
      </c>
      <c r="H5" s="1" t="str">
        <f>IF(Table24[[#This Row],[Difference]]&lt;0,Table24[[#This Row],[RANK Diff]],"")</f>
        <v/>
      </c>
      <c r="I5" s="1">
        <f>IF(Table24[[#This Row],[Difference]]&gt;0,Table24[[#This Row],[RANK Diff]],"")</f>
        <v>23</v>
      </c>
      <c r="K5" t="s">
        <v>3</v>
      </c>
      <c r="L5">
        <f>(L3*(L3+1))/4</f>
        <v>150</v>
      </c>
    </row>
    <row r="6" spans="1:12" x14ac:dyDescent="0.25">
      <c r="A6">
        <v>5</v>
      </c>
      <c r="B6">
        <v>323</v>
      </c>
      <c r="C6">
        <v>280</v>
      </c>
      <c r="D6">
        <f>Table24[[#This Row],[SELFIE]]-Table24[[#This Row],[NO SELFIE]]</f>
        <v>43</v>
      </c>
      <c r="E6">
        <f>ABS(Table24[[#This Row],[Difference]])</f>
        <v>43</v>
      </c>
      <c r="F6">
        <f>IF(Table24[[#This Row],[ABS Diff]] = 0,"",Table24[[#This Row],[ABS Diff]])</f>
        <v>43</v>
      </c>
      <c r="G6">
        <f>_xlfn.RANK.AVG(Table24[[#This Row],[ABS Diff]],Table24[ABS Diff],1)</f>
        <v>21</v>
      </c>
      <c r="H6" s="1" t="str">
        <f>IF(Table24[[#This Row],[Difference]]&lt;0,Table24[[#This Row],[RANK Diff]],"")</f>
        <v/>
      </c>
      <c r="I6" s="1">
        <f>IF(Table24[[#This Row],[Difference]]&gt;0,Table24[[#This Row],[RANK Diff]],"")</f>
        <v>21</v>
      </c>
      <c r="K6" t="s">
        <v>12</v>
      </c>
      <c r="L6">
        <f>SQRT( ( L3*(L3+1)*(2*L3+1) ) / 24)</f>
        <v>35</v>
      </c>
    </row>
    <row r="7" spans="1:12" x14ac:dyDescent="0.25">
      <c r="A7">
        <v>6</v>
      </c>
      <c r="B7">
        <v>329</v>
      </c>
      <c r="C7">
        <v>341</v>
      </c>
      <c r="D7">
        <f>Table24[[#This Row],[SELFIE]]-Table24[[#This Row],[NO SELFIE]]</f>
        <v>-12</v>
      </c>
      <c r="E7">
        <f>ABS(Table24[[#This Row],[Difference]])</f>
        <v>12</v>
      </c>
      <c r="F7">
        <f>IF(Table24[[#This Row],[ABS Diff]] = 0,"",Table24[[#This Row],[ABS Diff]])</f>
        <v>12</v>
      </c>
      <c r="G7">
        <f>_xlfn.RANK.AVG(Table24[[#This Row],[ABS Diff]],Table24[ABS Diff],1)</f>
        <v>7</v>
      </c>
      <c r="H7" s="1">
        <f>IF(Table24[[#This Row],[Difference]]&lt;0,Table24[[#This Row],[RANK Diff]],"")</f>
        <v>7</v>
      </c>
      <c r="I7" s="1" t="str">
        <f>IF(Table24[[#This Row],[Difference]]&gt;0,Table24[[#This Row],[RANK Diff]],"")</f>
        <v/>
      </c>
    </row>
    <row r="8" spans="1:12" x14ac:dyDescent="0.25">
      <c r="A8">
        <v>7</v>
      </c>
      <c r="B8">
        <v>324</v>
      </c>
      <c r="C8">
        <v>258</v>
      </c>
      <c r="D8">
        <f>Table24[[#This Row],[SELFIE]]-Table24[[#This Row],[NO SELFIE]]</f>
        <v>66</v>
      </c>
      <c r="E8">
        <f>ABS(Table24[[#This Row],[Difference]])</f>
        <v>66</v>
      </c>
      <c r="F8">
        <f>IF(Table24[[#This Row],[ABS Diff]] = 0,"",Table24[[#This Row],[ABS Diff]])</f>
        <v>66</v>
      </c>
      <c r="G8">
        <f>_xlfn.RANK.AVG(Table24[[#This Row],[ABS Diff]],Table24[ABS Diff],1)</f>
        <v>24</v>
      </c>
      <c r="H8" s="1" t="str">
        <f>IF(Table24[[#This Row],[Difference]]&lt;0,Table24[[#This Row],[RANK Diff]],"")</f>
        <v/>
      </c>
      <c r="I8" s="1">
        <f>IF(Table24[[#This Row],[Difference]]&gt;0,Table24[[#This Row],[RANK Diff]],"")</f>
        <v>24</v>
      </c>
      <c r="K8" t="s">
        <v>13</v>
      </c>
      <c r="L8">
        <f xml:space="preserve"> (L2-L5) / (L6)</f>
        <v>1.7428571428571429</v>
      </c>
    </row>
    <row r="9" spans="1:12" x14ac:dyDescent="0.25">
      <c r="A9">
        <v>8</v>
      </c>
      <c r="B9">
        <v>352</v>
      </c>
      <c r="C9">
        <v>349</v>
      </c>
      <c r="D9">
        <f>Table24[[#This Row],[SELFIE]]-Table24[[#This Row],[NO SELFIE]]</f>
        <v>3</v>
      </c>
      <c r="E9">
        <f>ABS(Table24[[#This Row],[Difference]])</f>
        <v>3</v>
      </c>
      <c r="F9">
        <f>IF(Table24[[#This Row],[ABS Diff]] = 0,"",Table24[[#This Row],[ABS Diff]])</f>
        <v>3</v>
      </c>
      <c r="G9">
        <f>_xlfn.RANK.AVG(Table24[[#This Row],[ABS Diff]],Table24[ABS Diff],1)</f>
        <v>1</v>
      </c>
      <c r="H9" s="1" t="str">
        <f>IF(Table24[[#This Row],[Difference]]&lt;0,Table24[[#This Row],[RANK Diff]],"")</f>
        <v/>
      </c>
      <c r="I9" s="1">
        <f>IF(Table24[[#This Row],[Difference]]&gt;0,Table24[[#This Row],[RANK Diff]],"")</f>
        <v>1</v>
      </c>
      <c r="K9" t="s">
        <v>14</v>
      </c>
      <c r="L9">
        <f>1-_xlfn.NORM.S.DIST(L8,1)</f>
        <v>4.067928590207226E-2</v>
      </c>
    </row>
    <row r="10" spans="1:12" x14ac:dyDescent="0.25">
      <c r="A10">
        <v>9</v>
      </c>
      <c r="B10">
        <v>342</v>
      </c>
      <c r="C10">
        <v>338</v>
      </c>
      <c r="D10">
        <f>Table24[[#This Row],[SELFIE]]-Table24[[#This Row],[NO SELFIE]]</f>
        <v>4</v>
      </c>
      <c r="E10">
        <f>ABS(Table24[[#This Row],[Difference]])</f>
        <v>4</v>
      </c>
      <c r="F10">
        <f>IF(Table24[[#This Row],[ABS Diff]] = 0,"",Table24[[#This Row],[ABS Diff]])</f>
        <v>4</v>
      </c>
      <c r="G10">
        <f>_xlfn.RANK.AVG(Table24[[#This Row],[ABS Diff]],Table24[ABS Diff],1)</f>
        <v>3</v>
      </c>
      <c r="H10" s="1" t="str">
        <f>IF(Table24[[#This Row],[Difference]]&lt;0,Table24[[#This Row],[RANK Diff]],"")</f>
        <v/>
      </c>
      <c r="I10" s="1">
        <f>IF(Table24[[#This Row],[Difference]]&gt;0,Table24[[#This Row],[RANK Diff]],"")</f>
        <v>3</v>
      </c>
      <c r="K10" t="s">
        <v>16</v>
      </c>
      <c r="L10">
        <f>2*L9</f>
        <v>8.1358571804144519E-2</v>
      </c>
    </row>
    <row r="11" spans="1:12" x14ac:dyDescent="0.25">
      <c r="A11">
        <v>10</v>
      </c>
      <c r="B11">
        <v>346</v>
      </c>
      <c r="C11">
        <v>377</v>
      </c>
      <c r="D11">
        <f>Table24[[#This Row],[SELFIE]]-Table24[[#This Row],[NO SELFIE]]</f>
        <v>-31</v>
      </c>
      <c r="E11">
        <f>ABS(Table24[[#This Row],[Difference]])</f>
        <v>31</v>
      </c>
      <c r="F11">
        <f>IF(Table24[[#This Row],[ABS Diff]] = 0,"",Table24[[#This Row],[ABS Diff]])</f>
        <v>31</v>
      </c>
      <c r="G11">
        <f>_xlfn.RANK.AVG(Table24[[#This Row],[ABS Diff]],Table24[ABS Diff],1)</f>
        <v>17</v>
      </c>
      <c r="H11" s="1">
        <f>IF(Table24[[#This Row],[Difference]]&lt;0,Table24[[#This Row],[RANK Diff]],"")</f>
        <v>17</v>
      </c>
      <c r="I11" s="1" t="str">
        <f>IF(Table24[[#This Row],[Difference]]&gt;0,Table24[[#This Row],[RANK Diff]],"")</f>
        <v/>
      </c>
    </row>
    <row r="12" spans="1:12" x14ac:dyDescent="0.25">
      <c r="A12">
        <v>11</v>
      </c>
      <c r="B12">
        <v>353</v>
      </c>
      <c r="C12">
        <v>314</v>
      </c>
      <c r="D12">
        <f>Table24[[#This Row],[SELFIE]]-Table24[[#This Row],[NO SELFIE]]</f>
        <v>39</v>
      </c>
      <c r="E12">
        <f>ABS(Table24[[#This Row],[Difference]])</f>
        <v>39</v>
      </c>
      <c r="F12">
        <f>IF(Table24[[#This Row],[ABS Diff]] = 0,"",Table24[[#This Row],[ABS Diff]])</f>
        <v>39</v>
      </c>
      <c r="G12">
        <f>_xlfn.RANK.AVG(Table24[[#This Row],[ABS Diff]],Table24[ABS Diff],1)</f>
        <v>19</v>
      </c>
      <c r="H12" s="1" t="str">
        <f>IF(Table24[[#This Row],[Difference]]&lt;0,Table24[[#This Row],[RANK Diff]],"")</f>
        <v/>
      </c>
      <c r="I12" s="1">
        <f>IF(Table24[[#This Row],[Difference]]&gt;0,Table24[[#This Row],[RANK Diff]],"")</f>
        <v>19</v>
      </c>
      <c r="K12" t="s">
        <v>17</v>
      </c>
      <c r="L12">
        <v>0.05</v>
      </c>
    </row>
    <row r="13" spans="1:12" x14ac:dyDescent="0.25">
      <c r="A13">
        <v>12</v>
      </c>
      <c r="B13">
        <v>318</v>
      </c>
      <c r="C13">
        <v>331</v>
      </c>
      <c r="D13">
        <f>Table24[[#This Row],[SELFIE]]-Table24[[#This Row],[NO SELFIE]]</f>
        <v>-13</v>
      </c>
      <c r="E13">
        <f>ABS(Table24[[#This Row],[Difference]])</f>
        <v>13</v>
      </c>
      <c r="F13">
        <f>IF(Table24[[#This Row],[ABS Diff]] = 0,"",Table24[[#This Row],[ABS Diff]])</f>
        <v>13</v>
      </c>
      <c r="G13">
        <f>_xlfn.RANK.AVG(Table24[[#This Row],[ABS Diff]],Table24[ABS Diff],1)</f>
        <v>8</v>
      </c>
      <c r="H13" s="1">
        <f>IF(Table24[[#This Row],[Difference]]&lt;0,Table24[[#This Row],[RANK Diff]],"")</f>
        <v>8</v>
      </c>
      <c r="I13" s="1" t="str">
        <f>IF(Table24[[#This Row],[Difference]]&gt;0,Table24[[#This Row],[RANK Diff]],"")</f>
        <v/>
      </c>
    </row>
    <row r="14" spans="1:12" x14ac:dyDescent="0.25">
      <c r="A14">
        <v>13</v>
      </c>
      <c r="B14">
        <v>351</v>
      </c>
      <c r="C14">
        <v>368</v>
      </c>
      <c r="D14">
        <f>Table24[[#This Row],[SELFIE]]-Table24[[#This Row],[NO SELFIE]]</f>
        <v>-17</v>
      </c>
      <c r="E14">
        <f>ABS(Table24[[#This Row],[Difference]])</f>
        <v>17</v>
      </c>
      <c r="F14">
        <f>IF(Table24[[#This Row],[ABS Diff]] = 0,"",Table24[[#This Row],[ABS Diff]])</f>
        <v>17</v>
      </c>
      <c r="G14">
        <f>_xlfn.RANK.AVG(Table24[[#This Row],[ABS Diff]],Table24[ABS Diff],1)</f>
        <v>11.5</v>
      </c>
      <c r="H14" s="1">
        <f>IF(Table24[[#This Row],[Difference]]&lt;0,Table24[[#This Row],[RANK Diff]],"")</f>
        <v>11.5</v>
      </c>
      <c r="I14" s="1" t="str">
        <f>IF(Table24[[#This Row],[Difference]]&gt;0,Table24[[#This Row],[RANK Diff]],"")</f>
        <v/>
      </c>
      <c r="K14" t="s">
        <v>18</v>
      </c>
      <c r="L14" t="str">
        <f>IF(L10&lt;L12,"Reject","Fail to reject")</f>
        <v>Fail to reject</v>
      </c>
    </row>
    <row r="15" spans="1:12" x14ac:dyDescent="0.25">
      <c r="A15">
        <v>14</v>
      </c>
      <c r="B15">
        <v>342</v>
      </c>
      <c r="C15">
        <v>338</v>
      </c>
      <c r="D15">
        <f>Table24[[#This Row],[SELFIE]]-Table24[[#This Row],[NO SELFIE]]</f>
        <v>4</v>
      </c>
      <c r="E15">
        <f>ABS(Table24[[#This Row],[Difference]])</f>
        <v>4</v>
      </c>
      <c r="F15">
        <f>IF(Table24[[#This Row],[ABS Diff]] = 0,"",Table24[[#This Row],[ABS Diff]])</f>
        <v>4</v>
      </c>
      <c r="G15">
        <f>_xlfn.RANK.AVG(Table24[[#This Row],[ABS Diff]],Table24[ABS Diff],1)</f>
        <v>3</v>
      </c>
      <c r="H15" s="1" t="str">
        <f>IF(Table24[[#This Row],[Difference]]&lt;0,Table24[[#This Row],[RANK Diff]],"")</f>
        <v/>
      </c>
      <c r="I15" s="1">
        <f>IF(Table24[[#This Row],[Difference]]&gt;0,Table24[[#This Row],[RANK Diff]],"")</f>
        <v>3</v>
      </c>
    </row>
    <row r="16" spans="1:12" x14ac:dyDescent="0.25">
      <c r="A16">
        <v>15</v>
      </c>
      <c r="B16">
        <v>355</v>
      </c>
      <c r="C16">
        <v>313</v>
      </c>
      <c r="D16">
        <f>Table24[[#This Row],[SELFIE]]-Table24[[#This Row],[NO SELFIE]]</f>
        <v>42</v>
      </c>
      <c r="E16">
        <f>ABS(Table24[[#This Row],[Difference]])</f>
        <v>42</v>
      </c>
      <c r="F16">
        <f>IF(Table24[[#This Row],[ABS Diff]] = 0,"",Table24[[#This Row],[ABS Diff]])</f>
        <v>42</v>
      </c>
      <c r="G16">
        <f>_xlfn.RANK.AVG(Table24[[#This Row],[ABS Diff]],Table24[ABS Diff],1)</f>
        <v>20</v>
      </c>
      <c r="H16" s="1" t="str">
        <f>IF(Table24[[#This Row],[Difference]]&lt;0,Table24[[#This Row],[RANK Diff]],"")</f>
        <v/>
      </c>
      <c r="I16" s="1">
        <f>IF(Table24[[#This Row],[Difference]]&gt;0,Table24[[#This Row],[RANK Diff]],"")</f>
        <v>20</v>
      </c>
      <c r="L16" t="s">
        <v>20</v>
      </c>
    </row>
    <row r="17" spans="1:9" x14ac:dyDescent="0.25">
      <c r="A17">
        <v>16</v>
      </c>
      <c r="B17">
        <v>306</v>
      </c>
      <c r="C17">
        <v>287</v>
      </c>
      <c r="D17">
        <f>Table24[[#This Row],[SELFIE]]-Table24[[#This Row],[NO SELFIE]]</f>
        <v>19</v>
      </c>
      <c r="E17">
        <f>ABS(Table24[[#This Row],[Difference]])</f>
        <v>19</v>
      </c>
      <c r="F17">
        <f>IF(Table24[[#This Row],[ABS Diff]] = 0,"",Table24[[#This Row],[ABS Diff]])</f>
        <v>19</v>
      </c>
      <c r="G17">
        <f>_xlfn.RANK.AVG(Table24[[#This Row],[ABS Diff]],Table24[ABS Diff],1)</f>
        <v>14</v>
      </c>
      <c r="H17" s="1" t="str">
        <f>IF(Table24[[#This Row],[Difference]]&lt;0,Table24[[#This Row],[RANK Diff]],"")</f>
        <v/>
      </c>
      <c r="I17" s="1">
        <f>IF(Table24[[#This Row],[Difference]]&gt;0,Table24[[#This Row],[RANK Diff]],"")</f>
        <v>14</v>
      </c>
    </row>
    <row r="18" spans="1:9" x14ac:dyDescent="0.25">
      <c r="A18">
        <v>17</v>
      </c>
      <c r="B18">
        <v>349</v>
      </c>
      <c r="C18">
        <v>324</v>
      </c>
      <c r="D18">
        <f>Table24[[#This Row],[SELFIE]]-Table24[[#This Row],[NO SELFIE]]</f>
        <v>25</v>
      </c>
      <c r="E18">
        <f>ABS(Table24[[#This Row],[Difference]])</f>
        <v>25</v>
      </c>
      <c r="F18">
        <f>IF(Table24[[#This Row],[ABS Diff]] = 0,"",Table24[[#This Row],[ABS Diff]])</f>
        <v>25</v>
      </c>
      <c r="G18">
        <f>_xlfn.RANK.AVG(Table24[[#This Row],[ABS Diff]],Table24[ABS Diff],1)</f>
        <v>16</v>
      </c>
      <c r="H18" s="1" t="str">
        <f>IF(Table24[[#This Row],[Difference]]&lt;0,Table24[[#This Row],[RANK Diff]],"")</f>
        <v/>
      </c>
      <c r="I18" s="1">
        <f>IF(Table24[[#This Row],[Difference]]&gt;0,Table24[[#This Row],[RANK Diff]],"")</f>
        <v>16</v>
      </c>
    </row>
    <row r="19" spans="1:9" x14ac:dyDescent="0.25">
      <c r="A19">
        <v>18</v>
      </c>
      <c r="B19">
        <v>353</v>
      </c>
      <c r="C19">
        <v>293</v>
      </c>
      <c r="D19">
        <f>Table24[[#This Row],[SELFIE]]-Table24[[#This Row],[NO SELFIE]]</f>
        <v>60</v>
      </c>
      <c r="E19">
        <f>ABS(Table24[[#This Row],[Difference]])</f>
        <v>60</v>
      </c>
      <c r="F19">
        <f>IF(Table24[[#This Row],[ABS Diff]] = 0,"",Table24[[#This Row],[ABS Diff]])</f>
        <v>60</v>
      </c>
      <c r="G19">
        <f>_xlfn.RANK.AVG(Table24[[#This Row],[ABS Diff]],Table24[ABS Diff],1)</f>
        <v>22</v>
      </c>
      <c r="H19" s="1" t="str">
        <f>IF(Table24[[#This Row],[Difference]]&lt;0,Table24[[#This Row],[RANK Diff]],"")</f>
        <v/>
      </c>
      <c r="I19" s="1">
        <f>IF(Table24[[#This Row],[Difference]]&gt;0,Table24[[#This Row],[RANK Diff]],"")</f>
        <v>22</v>
      </c>
    </row>
    <row r="20" spans="1:9" x14ac:dyDescent="0.25">
      <c r="A20">
        <v>19</v>
      </c>
      <c r="B20">
        <v>318</v>
      </c>
      <c r="C20">
        <v>311</v>
      </c>
      <c r="D20">
        <f>Table24[[#This Row],[SELFIE]]-Table24[[#This Row],[NO SELFIE]]</f>
        <v>7</v>
      </c>
      <c r="E20">
        <f>ABS(Table24[[#This Row],[Difference]])</f>
        <v>7</v>
      </c>
      <c r="F20">
        <f>IF(Table24[[#This Row],[ABS Diff]] = 0,"",Table24[[#This Row],[ABS Diff]])</f>
        <v>7</v>
      </c>
      <c r="G20">
        <f>_xlfn.RANK.AVG(Table24[[#This Row],[ABS Diff]],Table24[ABS Diff],1)</f>
        <v>5</v>
      </c>
      <c r="H20" s="1" t="str">
        <f>IF(Table24[[#This Row],[Difference]]&lt;0,Table24[[#This Row],[RANK Diff]],"")</f>
        <v/>
      </c>
      <c r="I20" s="1">
        <f>IF(Table24[[#This Row],[Difference]]&gt;0,Table24[[#This Row],[RANK Diff]],"")</f>
        <v>5</v>
      </c>
    </row>
    <row r="21" spans="1:9" x14ac:dyDescent="0.25">
      <c r="A21">
        <v>20</v>
      </c>
      <c r="B21">
        <v>329</v>
      </c>
      <c r="C21">
        <v>329</v>
      </c>
      <c r="F21" t="str">
        <f>IF(Table24[[#This Row],[ABS Diff]] = 0,"",Table24[[#This Row],[ABS Diff]])</f>
        <v/>
      </c>
      <c r="H21" s="1" t="str">
        <f>IF(Table24[[#This Row],[Difference]]&lt;0,Table24[[#This Row],[RANK Diff]],"")</f>
        <v/>
      </c>
      <c r="I21" s="1" t="str">
        <f>IF(Table24[[#This Row],[Difference]]&gt;0,Table24[[#This Row],[RANK Diff]],"")</f>
        <v/>
      </c>
    </row>
    <row r="22" spans="1:9" x14ac:dyDescent="0.25">
      <c r="A22">
        <v>21</v>
      </c>
      <c r="B22">
        <v>300</v>
      </c>
      <c r="C22">
        <v>314</v>
      </c>
      <c r="D22" s="1">
        <f>Table24[[#This Row],[SELFIE]]-Table24[[#This Row],[NO SELFIE]]</f>
        <v>-14</v>
      </c>
      <c r="E22" s="1">
        <f>ABS(Table24[[#This Row],[Difference]])</f>
        <v>14</v>
      </c>
      <c r="F22" s="1">
        <f>IF(Table24[[#This Row],[ABS Diff]] = 0,"",Table24[[#This Row],[ABS Diff]])</f>
        <v>14</v>
      </c>
      <c r="G22" s="1">
        <f>_xlfn.RANK.AVG(Table24[[#This Row],[ABS Diff]],Table24[ABS Diff],1)</f>
        <v>9.5</v>
      </c>
      <c r="H22" s="1">
        <f>IF(Table24[[#This Row],[Difference]]&lt;0,Table24[[#This Row],[RANK Diff]],"")</f>
        <v>9.5</v>
      </c>
      <c r="I22" s="1" t="str">
        <f>IF(Table24[[#This Row],[Difference]]&gt;0,Table24[[#This Row],[RANK Diff]],"")</f>
        <v/>
      </c>
    </row>
    <row r="23" spans="1:9" x14ac:dyDescent="0.25">
      <c r="A23">
        <v>22</v>
      </c>
      <c r="B23">
        <v>331</v>
      </c>
      <c r="C23">
        <v>313</v>
      </c>
      <c r="D23" s="1">
        <f>Table24[[#This Row],[SELFIE]]-Table24[[#This Row],[NO SELFIE]]</f>
        <v>18</v>
      </c>
      <c r="E23" s="1">
        <f>ABS(Table24[[#This Row],[Difference]])</f>
        <v>18</v>
      </c>
      <c r="F23" s="1">
        <f>IF(Table24[[#This Row],[ABS Diff]] = 0,"",Table24[[#This Row],[ABS Diff]])</f>
        <v>18</v>
      </c>
      <c r="G23" s="1">
        <f>_xlfn.RANK.AVG(Table24[[#This Row],[ABS Diff]],Table24[ABS Diff],1)</f>
        <v>13</v>
      </c>
      <c r="H23" s="1" t="str">
        <f>IF(Table24[[#This Row],[Difference]]&lt;0,Table24[[#This Row],[RANK Diff]],"")</f>
        <v/>
      </c>
      <c r="I23" s="1">
        <f>IF(Table24[[#This Row],[Difference]]&gt;0,Table24[[#This Row],[RANK Diff]],"")</f>
        <v>13</v>
      </c>
    </row>
    <row r="24" spans="1:9" x14ac:dyDescent="0.25">
      <c r="A24">
        <v>23</v>
      </c>
      <c r="B24">
        <v>298</v>
      </c>
      <c r="C24">
        <v>309</v>
      </c>
      <c r="D24" s="1">
        <f>Table24[[#This Row],[SELFIE]]-Table24[[#This Row],[NO SELFIE]]</f>
        <v>-11</v>
      </c>
      <c r="E24" s="1">
        <f>ABS(Table24[[#This Row],[Difference]])</f>
        <v>11</v>
      </c>
      <c r="F24" s="1">
        <f>IF(Table24[[#This Row],[ABS Diff]] = 0,"",Table24[[#This Row],[ABS Diff]])</f>
        <v>11</v>
      </c>
      <c r="G24" s="1">
        <f>_xlfn.RANK.AVG(Table24[[#This Row],[ABS Diff]],Table24[ABS Diff],1)</f>
        <v>6</v>
      </c>
      <c r="H24" s="1">
        <f>IF(Table24[[#This Row],[Difference]]&lt;0,Table24[[#This Row],[RANK Diff]],"")</f>
        <v>6</v>
      </c>
      <c r="I24" s="1" t="str">
        <f>IF(Table24[[#This Row],[Difference]]&gt;0,Table24[[#This Row],[RANK Diff]],"")</f>
        <v/>
      </c>
    </row>
    <row r="25" spans="1:9" x14ac:dyDescent="0.25">
      <c r="A25">
        <v>24</v>
      </c>
      <c r="B25">
        <v>309</v>
      </c>
      <c r="C25">
        <v>313</v>
      </c>
      <c r="D25" s="1">
        <f>Table24[[#This Row],[SELFIE]]-Table24[[#This Row],[NO SELFIE]]</f>
        <v>-4</v>
      </c>
      <c r="E25" s="1">
        <f>ABS(Table24[[#This Row],[Difference]])</f>
        <v>4</v>
      </c>
      <c r="F25" s="1">
        <f>IF(Table24[[#This Row],[ABS Diff]] = 0,"",Table24[[#This Row],[ABS Diff]])</f>
        <v>4</v>
      </c>
      <c r="G25" s="1">
        <f>_xlfn.RANK.AVG(Table24[[#This Row],[ABS Diff]],Table24[ABS Diff],1)</f>
        <v>3</v>
      </c>
      <c r="H25" s="1">
        <f>IF(Table24[[#This Row],[Difference]]&lt;0,Table24[[#This Row],[RANK Diff]],"")</f>
        <v>3</v>
      </c>
      <c r="I25" s="1" t="str">
        <f>IF(Table24[[#This Row],[Difference]]&gt;0,Table24[[#This Row],[RANK Diff]],"")</f>
        <v/>
      </c>
    </row>
    <row r="26" spans="1:9" x14ac:dyDescent="0.25">
      <c r="A26">
        <v>25</v>
      </c>
      <c r="B26">
        <v>317</v>
      </c>
      <c r="C26">
        <v>303</v>
      </c>
      <c r="D26" s="1">
        <f>Table24[[#This Row],[SELFIE]]-Table24[[#This Row],[NO SELFIE]]</f>
        <v>14</v>
      </c>
      <c r="E26" s="1">
        <f>ABS(Table24[[#This Row],[Difference]])</f>
        <v>14</v>
      </c>
      <c r="F26" s="1">
        <f>IF(Table24[[#This Row],[ABS Diff]] = 0,"",Table24[[#This Row],[ABS Diff]])</f>
        <v>14</v>
      </c>
      <c r="G26" s="1">
        <f>_xlfn.RANK.AVG(Table24[[#This Row],[ABS Diff]],Table24[ABS Diff],1)</f>
        <v>9.5</v>
      </c>
      <c r="H26" s="1" t="str">
        <f>IF(Table24[[#This Row],[Difference]]&lt;0,Table24[[#This Row],[RANK Diff]],"")</f>
        <v/>
      </c>
      <c r="I26" s="1">
        <f>IF(Table24[[#This Row],[Difference]]&gt;0,Table24[[#This Row],[RANK Diff]],"")</f>
        <v>9.5</v>
      </c>
    </row>
    <row r="27" spans="1:9" x14ac:dyDescent="0.25">
      <c r="A27" t="s">
        <v>10</v>
      </c>
      <c r="H27">
        <f>SUM(Table24[NEGATIVE])</f>
        <v>88.5</v>
      </c>
      <c r="I27">
        <f>SUM(Table24[POSITIVE])</f>
        <v>211.5</v>
      </c>
    </row>
    <row r="29" spans="1:9" x14ac:dyDescent="0.25">
      <c r="H29" t="s">
        <v>15</v>
      </c>
    </row>
    <row r="30" spans="1:9" x14ac:dyDescent="0.25">
      <c r="H30" t="s">
        <v>2</v>
      </c>
      <c r="I30">
        <f>Table24[[#Totals],[POSITIVE]]-0.5</f>
        <v>211</v>
      </c>
    </row>
    <row r="31" spans="1:9" x14ac:dyDescent="0.25">
      <c r="H31" t="s">
        <v>11</v>
      </c>
      <c r="I31">
        <f>COUNT(Table24[Elegible])</f>
        <v>24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DAVID CORZO</cp:lastModifiedBy>
  <dcterms:created xsi:type="dcterms:W3CDTF">2019-12-01T16:50:06Z</dcterms:created>
  <dcterms:modified xsi:type="dcterms:W3CDTF">2020-11-02T21:53:39Z</dcterms:modified>
</cp:coreProperties>
</file>