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___Me-Youtube-Cursos___\Statistics 101\"/>
    </mc:Choice>
  </mc:AlternateContent>
  <xr:revisionPtr revIDLastSave="0" documentId="13_ncr:1_{F5A89985-9EE5-473E-8DD5-202CBB1BBC32}" xr6:coauthVersionLast="45" xr6:coauthVersionMax="45" xr10:uidLastSave="{00000000-0000-0000-0000-000000000000}"/>
  <bookViews>
    <workbookView xWindow="6705" yWindow="1125" windowWidth="14100" windowHeight="14640" xr2:uid="{35E9EAFA-D116-420B-BDF8-8C6C72D12475}"/>
  </bookViews>
  <sheets>
    <sheet name="Sheet1" sheetId="3" r:id="rId1"/>
  </sheet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10" i="3" l="1"/>
  <c r="J23" i="3" s="1"/>
  <c r="J13" i="3"/>
  <c r="J15" i="3" s="1"/>
  <c r="J24" i="3"/>
  <c r="J22" i="3"/>
  <c r="G2" i="3"/>
  <c r="F2" i="3"/>
  <c r="J20" i="3"/>
  <c r="J18" i="3"/>
  <c r="J31" i="3" l="1"/>
  <c r="K31" i="3"/>
  <c r="J19" i="3"/>
  <c r="J30" i="3" l="1"/>
  <c r="J27" i="3"/>
  <c r="J25" i="3"/>
  <c r="J11" i="3"/>
  <c r="J9" i="3"/>
  <c r="J7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32" i="3"/>
  <c r="F22" i="3"/>
  <c r="F23" i="3"/>
  <c r="F24" i="3"/>
  <c r="F25" i="3"/>
  <c r="F26" i="3"/>
  <c r="F27" i="3"/>
  <c r="F28" i="3"/>
  <c r="F29" i="3"/>
  <c r="F30" i="3"/>
  <c r="F31" i="3"/>
  <c r="F18" i="3"/>
  <c r="F19" i="3"/>
  <c r="F20" i="3"/>
  <c r="F21" i="3"/>
  <c r="F17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J29" i="3" l="1"/>
  <c r="G47" i="3"/>
  <c r="J34" i="3" l="1"/>
  <c r="J32" i="3"/>
  <c r="K34" i="3" s="1"/>
</calcChain>
</file>

<file path=xl/sharedStrings.xml><?xml version="1.0" encoding="utf-8"?>
<sst xmlns="http://schemas.openxmlformats.org/spreadsheetml/2006/main" count="76" uniqueCount="28">
  <si>
    <t>Nariman Point (N)</t>
  </si>
  <si>
    <t xml:space="preserve">Taj Mahal Palace (T) </t>
  </si>
  <si>
    <t>STORE</t>
  </si>
  <si>
    <t>RATING</t>
  </si>
  <si>
    <t>RANK</t>
  </si>
  <si>
    <t>k=</t>
  </si>
  <si>
    <t>n1</t>
  </si>
  <si>
    <t>n2</t>
  </si>
  <si>
    <t>n3</t>
  </si>
  <si>
    <t>nT</t>
  </si>
  <si>
    <t>R-square(n1)</t>
  </si>
  <si>
    <t>R-square(n2)</t>
  </si>
  <si>
    <t>R-square(n3)</t>
  </si>
  <si>
    <t>R-square(n1)/n1</t>
  </si>
  <si>
    <t>R-square(n2)/n2</t>
  </si>
  <si>
    <t>R-square(n3)/n3</t>
  </si>
  <si>
    <t>Part 1</t>
  </si>
  <si>
    <t>Part 2</t>
  </si>
  <si>
    <t>Part 3</t>
  </si>
  <si>
    <t>H</t>
  </si>
  <si>
    <t>p-value</t>
  </si>
  <si>
    <t>chi-square</t>
  </si>
  <si>
    <t>Reject Null?</t>
  </si>
  <si>
    <t>Churchgate (C)</t>
  </si>
  <si>
    <t>Row Labels</t>
  </si>
  <si>
    <t>Grand Total</t>
  </si>
  <si>
    <t>Sum of RANK</t>
  </si>
  <si>
    <t>significance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</si>
</sst>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5" borderId="0" xfId="0" applyFill="1"/>
    <xf numFmtId="0" fontId="0" fillId="0" borderId="0" xfId="0" pivotButton="1"/>
    <xf numFmtId="0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104775</xdr:colOff>
      <xdr:row>8</xdr:row>
      <xdr:rowOff>152400</xdr:rowOff>
    </xdr:from>
    <xdr:to>
      <xdr:col>19</xdr:col>
      <xdr:colOff>202606</xdr:colOff>
      <xdr:row>14</xdr:row>
      <xdr:rowOff>183247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62E404B-45DA-40A6-863C-E8B720100C91}"/>
                </a:ext>
              </a:extLst>
            </xdr:cNvPr>
            <xdr:cNvSpPr txBox="1"/>
          </xdr:nvSpPr>
          <xdr:spPr>
            <a:xfrm>
              <a:off x="9029700" y="914400"/>
              <a:ext cx="4974631" cy="1173847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2400" b="0" i="1">
                        <a:solidFill>
                          <a:schemeClr val="tx2"/>
                        </a:solidFill>
                        <a:latin typeface="Cambria Math" panose="02040503050406030204" pitchFamily="18" charset="0"/>
                      </a:rPr>
                      <m:t>𝐻</m:t>
                    </m:r>
                    <m:r>
                      <a:rPr lang="en-US" sz="2400" b="0" i="1">
                        <a:solidFill>
                          <a:schemeClr val="tx2"/>
                        </a:solidFill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begChr m:val="["/>
                        <m:endChr m:val="]"/>
                        <m:ctrlPr>
                          <a:rPr lang="en-US" sz="2400" b="0" i="1">
                            <a:solidFill>
                              <a:schemeClr val="tx2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n-US" sz="2400" b="0" i="1">
                                <a:solidFill>
                                  <a:schemeClr val="accent1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2400" b="0" i="1">
                                <a:solidFill>
                                  <a:schemeClr val="accent1"/>
                                </a:solidFill>
                                <a:latin typeface="Cambria Math" panose="02040503050406030204" pitchFamily="18" charset="0"/>
                              </a:rPr>
                              <m:t>12</m:t>
                            </m:r>
                          </m:num>
                          <m:den>
                            <m:sSub>
                              <m:sSubPr>
                                <m:ctrlPr>
                                  <a:rPr lang="en-US" sz="2400" b="0" i="1">
                                    <a:solidFill>
                                      <a:schemeClr val="accent1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2400" b="0" i="1">
                                    <a:solidFill>
                                      <a:schemeClr val="accent1"/>
                                    </a:solidFill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sz="2400" b="0" i="1">
                                    <a:solidFill>
                                      <a:schemeClr val="accent1"/>
                                    </a:solidFill>
                                    <a:latin typeface="Cambria Math" panose="02040503050406030204" pitchFamily="18" charset="0"/>
                                  </a:rPr>
                                  <m:t>𝑇</m:t>
                                </m:r>
                              </m:sub>
                            </m:sSub>
                            <m:r>
                              <a:rPr lang="en-US" sz="2400" b="0" i="1">
                                <a:solidFill>
                                  <a:schemeClr val="accent1"/>
                                </a:solidFill>
                                <a:latin typeface="Cambria Math" panose="02040503050406030204" pitchFamily="18" charset="0"/>
                              </a:rPr>
                              <m:t>(</m:t>
                            </m:r>
                            <m:sSub>
                              <m:sSubPr>
                                <m:ctrlPr>
                                  <a:rPr lang="en-US" sz="2400" b="0" i="1">
                                    <a:solidFill>
                                      <a:schemeClr val="accent1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2400" b="0" i="1">
                                    <a:solidFill>
                                      <a:schemeClr val="accent1"/>
                                    </a:solidFill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sz="2400" b="0" i="1">
                                    <a:solidFill>
                                      <a:schemeClr val="accent1"/>
                                    </a:solidFill>
                                    <a:latin typeface="Cambria Math" panose="02040503050406030204" pitchFamily="18" charset="0"/>
                                  </a:rPr>
                                  <m:t>𝑇</m:t>
                                </m:r>
                              </m:sub>
                            </m:sSub>
                            <m:r>
                              <a:rPr lang="en-US" sz="2400" b="0" i="1">
                                <a:solidFill>
                                  <a:schemeClr val="accent1"/>
                                </a:solidFill>
                                <a:latin typeface="Cambria Math" panose="02040503050406030204" pitchFamily="18" charset="0"/>
                              </a:rPr>
                              <m:t>+1)</m:t>
                            </m:r>
                          </m:den>
                        </m:f>
                        <m:nary>
                          <m:naryPr>
                            <m:chr m:val="∑"/>
                            <m:ctrlPr>
                              <a:rPr lang="en-US" sz="2400" b="0" i="1">
                                <a:solidFill>
                                  <a:schemeClr val="accent2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m:rPr>
                                <m:brk m:alnAt="23"/>
                              </m:rPr>
                              <a:rPr lang="en-US" sz="2400" b="0" i="1">
                                <a:solidFill>
                                  <a:schemeClr val="accent2"/>
                                </a:solidFill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sz="2400" b="0" i="1">
                                <a:solidFill>
                                  <a:schemeClr val="accent2"/>
                                </a:solidFill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sz="2400" b="0" i="1">
                                <a:solidFill>
                                  <a:schemeClr val="accent2"/>
                                </a:solidFill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  <m:e>
                            <m:f>
                              <m:fPr>
                                <m:ctrlPr>
                                  <a:rPr lang="en-US" sz="2400" b="0" i="1">
                                    <a:solidFill>
                                      <a:schemeClr val="accent2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sSubSup>
                                  <m:sSubSupPr>
                                    <m:ctrlPr>
                                      <a:rPr lang="en-US" sz="2400" b="0" i="1">
                                        <a:solidFill>
                                          <a:schemeClr val="accent2"/>
                                        </a:solidFill>
                                        <a:latin typeface="Cambria Math" panose="02040503050406030204" pitchFamily="18" charset="0"/>
                                      </a:rPr>
                                    </m:ctrlPr>
                                  </m:sSubSupPr>
                                  <m:e>
                                    <m:r>
                                      <a:rPr lang="en-US" sz="2400" b="0" i="1">
                                        <a:solidFill>
                                          <a:schemeClr val="accent2"/>
                                        </a:solidFill>
                                        <a:latin typeface="Cambria Math" panose="02040503050406030204" pitchFamily="18" charset="0"/>
                                      </a:rPr>
                                      <m:t>𝑅</m:t>
                                    </m:r>
                                  </m:e>
                                  <m:sub>
                                    <m:r>
                                      <a:rPr lang="en-US" sz="2400" b="0" i="1">
                                        <a:solidFill>
                                          <a:schemeClr val="accent2"/>
                                        </a:solidFill>
                                        <a:latin typeface="Cambria Math" panose="02040503050406030204" pitchFamily="18" charset="0"/>
                                      </a:rPr>
                                      <m:t>𝑖</m:t>
                                    </m:r>
                                  </m:sub>
                                  <m:sup>
                                    <m:r>
                                      <a:rPr lang="en-US" sz="2400" b="0" i="1">
                                        <a:solidFill>
                                          <a:schemeClr val="accent2"/>
                                        </a:solidFill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bSup>
                              </m:num>
                              <m:den>
                                <m:sSub>
                                  <m:sSubPr>
                                    <m:ctrlPr>
                                      <a:rPr lang="en-US" sz="2400" b="0" i="1">
                                        <a:solidFill>
                                          <a:schemeClr val="accent2"/>
                                        </a:solidFill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2400" b="0" i="1">
                                        <a:solidFill>
                                          <a:schemeClr val="accent2"/>
                                        </a:solidFill>
                                        <a:latin typeface="Cambria Math" panose="02040503050406030204" pitchFamily="18" charset="0"/>
                                      </a:rPr>
                                      <m:t>𝑛</m:t>
                                    </m:r>
                                  </m:e>
                                  <m:sub>
                                    <m:r>
                                      <a:rPr lang="en-US" sz="2400" b="0" i="1">
                                        <a:solidFill>
                                          <a:schemeClr val="accent2"/>
                                        </a:solidFill>
                                        <a:latin typeface="Cambria Math" panose="02040503050406030204" pitchFamily="18" charset="0"/>
                                      </a:rPr>
                                      <m:t>𝑖</m:t>
                                    </m:r>
                                  </m:sub>
                                </m:sSub>
                              </m:den>
                            </m:f>
                          </m:e>
                        </m:nary>
                      </m:e>
                    </m:d>
                    <m:r>
                      <a:rPr lang="en-US" sz="2400" b="0" i="1">
                        <a:solidFill>
                          <a:schemeClr val="tx2"/>
                        </a:solidFill>
                        <a:latin typeface="Cambria Math" panose="02040503050406030204" pitchFamily="18" charset="0"/>
                      </a:rPr>
                      <m:t>−</m:t>
                    </m:r>
                    <m:r>
                      <a:rPr lang="en-US" sz="2400" b="0" i="1">
                        <a:solidFill>
                          <a:schemeClr val="accent6"/>
                        </a:solidFill>
                        <a:latin typeface="Cambria Math" panose="02040503050406030204" pitchFamily="18" charset="0"/>
                      </a:rPr>
                      <m:t>3(</m:t>
                    </m:r>
                    <m:sSub>
                      <m:sSubPr>
                        <m:ctrlPr>
                          <a:rPr lang="en-US" sz="2400" b="0" i="1">
                            <a:solidFill>
                              <a:schemeClr val="accent6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2400" b="0" i="1">
                            <a:solidFill>
                              <a:schemeClr val="accent6"/>
                            </a:solidFill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sz="2400" b="0" i="1">
                            <a:solidFill>
                              <a:schemeClr val="accent6"/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sub>
                    </m:sSub>
                    <m:r>
                      <a:rPr lang="en-US" sz="2400" b="0" i="1">
                        <a:solidFill>
                          <a:schemeClr val="accent6"/>
                        </a:solidFill>
                        <a:latin typeface="Cambria Math" panose="02040503050406030204" pitchFamily="18" charset="0"/>
                      </a:rPr>
                      <m:t>+1)</m:t>
                    </m:r>
                  </m:oMath>
                </m:oMathPara>
              </a14:m>
              <a:endParaRPr lang="en-US" sz="2400">
                <a:solidFill>
                  <a:schemeClr val="tx2"/>
                </a:solidFill>
              </a:endParaRPr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62E404B-45DA-40A6-863C-E8B720100C91}"/>
                </a:ext>
              </a:extLst>
            </xdr:cNvPr>
            <xdr:cNvSpPr txBox="1"/>
          </xdr:nvSpPr>
          <xdr:spPr>
            <a:xfrm>
              <a:off x="9029700" y="914400"/>
              <a:ext cx="4974631" cy="1173847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n-US" sz="2400" b="0" i="0">
                  <a:solidFill>
                    <a:schemeClr val="tx2"/>
                  </a:solidFill>
                  <a:latin typeface="Cambria Math" panose="02040503050406030204" pitchFamily="18" charset="0"/>
                </a:rPr>
                <a:t>𝐻=[</a:t>
              </a:r>
              <a:r>
                <a:rPr lang="en-US" sz="2400" b="0" i="0">
                  <a:solidFill>
                    <a:schemeClr val="accent1"/>
                  </a:solidFill>
                  <a:latin typeface="Cambria Math" panose="02040503050406030204" pitchFamily="18" charset="0"/>
                </a:rPr>
                <a:t>12/(𝑛_𝑇 (𝑛_𝑇+1))</a:t>
              </a:r>
              <a:r>
                <a:rPr lang="en-US" sz="2400" b="0" i="0">
                  <a:solidFill>
                    <a:schemeClr val="accent2"/>
                  </a:solidFill>
                  <a:latin typeface="Cambria Math" panose="02040503050406030204" pitchFamily="18" charset="0"/>
                </a:rPr>
                <a:t> ∑_(𝑖=1)^𝑘▒(𝑅_𝑖^2)/𝑛_𝑖 ]</a:t>
              </a:r>
              <a:r>
                <a:rPr lang="en-US" sz="2400" b="0" i="0">
                  <a:solidFill>
                    <a:schemeClr val="tx2"/>
                  </a:solidFill>
                  <a:latin typeface="Cambria Math" panose="02040503050406030204" pitchFamily="18" charset="0"/>
                </a:rPr>
                <a:t>−</a:t>
              </a:r>
              <a:r>
                <a:rPr lang="en-US" sz="2400" b="0" i="0">
                  <a:solidFill>
                    <a:schemeClr val="accent6"/>
                  </a:solidFill>
                  <a:latin typeface="Cambria Math" panose="02040503050406030204" pitchFamily="18" charset="0"/>
                </a:rPr>
                <a:t>3(𝑛_𝑇+1)</a:t>
              </a:r>
              <a:endParaRPr lang="en-US" sz="2400">
                <a:solidFill>
                  <a:schemeClr val="tx2"/>
                </a:solidFill>
              </a:endParaRPr>
            </a:p>
          </xdr:txBody>
        </xdr:sp>
      </mc:Fallback>
    </mc:AlternateContent>
    <xdr:clientData/>
  </xdr:twoCellAnchor>
  <xdr:twoCellAnchor>
    <xdr:from>
      <xdr:col>11</xdr:col>
      <xdr:colOff>104775</xdr:colOff>
      <xdr:row>15</xdr:row>
      <xdr:rowOff>159199</xdr:rowOff>
    </xdr:from>
    <xdr:to>
      <xdr:col>15</xdr:col>
      <xdr:colOff>411037</xdr:colOff>
      <xdr:row>17</xdr:row>
      <xdr:rowOff>55198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7">
              <a:extLst>
                <a:ext uri="{FF2B5EF4-FFF2-40B4-BE49-F238E27FC236}">
                  <a16:creationId xmlns:a16="http://schemas.microsoft.com/office/drawing/2014/main" id="{B7869B9E-52A2-42CF-8F02-DB0108B205FB}"/>
                </a:ext>
              </a:extLst>
            </xdr:cNvPr>
            <xdr:cNvSpPr txBox="1"/>
          </xdr:nvSpPr>
          <xdr:spPr>
            <a:xfrm>
              <a:off x="9029700" y="2254699"/>
              <a:ext cx="2744662" cy="276999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b="0" i="1">
                        <a:solidFill>
                          <a:schemeClr val="tx2"/>
                        </a:solidFill>
                        <a:latin typeface="Cambria Math" panose="02040503050406030204" pitchFamily="18" charset="0"/>
                      </a:rPr>
                      <m:t>𝑘</m:t>
                    </m:r>
                    <m:r>
                      <a:rPr lang="en-US" b="0" i="1">
                        <a:solidFill>
                          <a:schemeClr val="tx2"/>
                        </a:solidFill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nor/>
                      </m:rPr>
                      <a:rPr lang="en-US" b="0" i="0">
                        <a:solidFill>
                          <a:schemeClr val="tx2"/>
                        </a:solidFill>
                        <a:latin typeface="Cambria Math" panose="02040503050406030204" pitchFamily="18" charset="0"/>
                      </a:rPr>
                      <m:t>number</m:t>
                    </m:r>
                    <m:r>
                      <m:rPr>
                        <m:nor/>
                      </m:rPr>
                      <a:rPr lang="en-US" b="0" i="0">
                        <a:solidFill>
                          <a:schemeClr val="tx2"/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nor/>
                      </m:rPr>
                      <a:rPr lang="en-US" b="0" i="0">
                        <a:solidFill>
                          <a:schemeClr val="tx2"/>
                        </a:solidFill>
                        <a:latin typeface="Cambria Math" panose="02040503050406030204" pitchFamily="18" charset="0"/>
                      </a:rPr>
                      <m:t>of</m:t>
                    </m:r>
                    <m:r>
                      <m:rPr>
                        <m:nor/>
                      </m:rPr>
                      <a:rPr lang="en-US" b="0" i="0">
                        <a:solidFill>
                          <a:schemeClr val="tx2"/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nor/>
                      </m:rPr>
                      <a:rPr lang="en-US" b="0" i="0">
                        <a:solidFill>
                          <a:schemeClr val="tx2"/>
                        </a:solidFill>
                        <a:latin typeface="Cambria Math" panose="02040503050406030204" pitchFamily="18" charset="0"/>
                      </a:rPr>
                      <m:t>populations</m:t>
                    </m:r>
                  </m:oMath>
                </m:oMathPara>
              </a14:m>
              <a:endParaRPr lang="en-US">
                <a:solidFill>
                  <a:schemeClr val="tx2"/>
                </a:solidFill>
              </a:endParaRPr>
            </a:p>
          </xdr:txBody>
        </xdr:sp>
      </mc:Choice>
      <mc:Fallback xmlns="">
        <xdr:sp macro="" textlink="">
          <xdr:nvSpPr>
            <xdr:cNvPr id="3" name="TextBox 7">
              <a:extLst>
                <a:ext uri="{FF2B5EF4-FFF2-40B4-BE49-F238E27FC236}">
                  <a16:creationId xmlns:a16="http://schemas.microsoft.com/office/drawing/2014/main" id="{B7869B9E-52A2-42CF-8F02-DB0108B205FB}"/>
                </a:ext>
              </a:extLst>
            </xdr:cNvPr>
            <xdr:cNvSpPr txBox="1"/>
          </xdr:nvSpPr>
          <xdr:spPr>
            <a:xfrm>
              <a:off x="9029700" y="2254699"/>
              <a:ext cx="2744662" cy="276999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n-US" b="0" i="0">
                  <a:solidFill>
                    <a:schemeClr val="tx2"/>
                  </a:solidFill>
                  <a:latin typeface="Cambria Math" panose="02040503050406030204" pitchFamily="18" charset="0"/>
                </a:rPr>
                <a:t>𝑘="number of populations</a:t>
              </a:r>
              <a:r>
                <a:rPr lang="es-GT" b="0" i="0">
                  <a:solidFill>
                    <a:schemeClr val="tx2"/>
                  </a:solidFill>
                  <a:latin typeface="Cambria Math" panose="02040503050406030204" pitchFamily="18" charset="0"/>
                </a:rPr>
                <a:t>"</a:t>
              </a:r>
              <a:endParaRPr lang="en-US">
                <a:solidFill>
                  <a:schemeClr val="tx2"/>
                </a:solidFill>
              </a:endParaRPr>
            </a:p>
          </xdr:txBody>
        </xdr:sp>
      </mc:Fallback>
    </mc:AlternateContent>
    <xdr:clientData/>
  </xdr:twoCellAnchor>
  <xdr:twoCellAnchor>
    <xdr:from>
      <xdr:col>11</xdr:col>
      <xdr:colOff>104775</xdr:colOff>
      <xdr:row>18</xdr:row>
      <xdr:rowOff>31150</xdr:rowOff>
    </xdr:from>
    <xdr:to>
      <xdr:col>18</xdr:col>
      <xdr:colOff>263658</xdr:colOff>
      <xdr:row>19</xdr:row>
      <xdr:rowOff>117649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8">
              <a:extLst>
                <a:ext uri="{FF2B5EF4-FFF2-40B4-BE49-F238E27FC236}">
                  <a16:creationId xmlns:a16="http://schemas.microsoft.com/office/drawing/2014/main" id="{E2501850-BBC4-41ED-A273-C09011A7BF4C}"/>
                </a:ext>
              </a:extLst>
            </xdr:cNvPr>
            <xdr:cNvSpPr txBox="1"/>
          </xdr:nvSpPr>
          <xdr:spPr>
            <a:xfrm>
              <a:off x="9029700" y="2698150"/>
              <a:ext cx="4426083" cy="276999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i="1">
                            <a:solidFill>
                              <a:schemeClr val="tx2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b="0" i="1">
                            <a:solidFill>
                              <a:schemeClr val="tx2"/>
                            </a:solidFill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b="0" i="1">
                            <a:solidFill>
                              <a:schemeClr val="tx2"/>
                            </a:solidFill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b="0" i="1">
                        <a:solidFill>
                          <a:schemeClr val="tx2"/>
                        </a:solidFill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nor/>
                      </m:rPr>
                      <a:rPr lang="en-US" b="0" i="0">
                        <a:solidFill>
                          <a:schemeClr val="tx2"/>
                        </a:solidFill>
                        <a:latin typeface="Cambria Math" panose="02040503050406030204" pitchFamily="18" charset="0"/>
                      </a:rPr>
                      <m:t>the</m:t>
                    </m:r>
                    <m:r>
                      <m:rPr>
                        <m:nor/>
                      </m:rPr>
                      <a:rPr lang="en-US" b="0" i="0">
                        <a:solidFill>
                          <a:schemeClr val="tx2"/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nor/>
                      </m:rPr>
                      <a:rPr lang="en-US" b="0" i="0">
                        <a:solidFill>
                          <a:schemeClr val="tx2"/>
                        </a:solidFill>
                        <a:latin typeface="Cambria Math" panose="02040503050406030204" pitchFamily="18" charset="0"/>
                      </a:rPr>
                      <m:t>number</m:t>
                    </m:r>
                    <m:r>
                      <m:rPr>
                        <m:nor/>
                      </m:rPr>
                      <a:rPr lang="en-US" b="0" i="0">
                        <a:solidFill>
                          <a:schemeClr val="tx2"/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nor/>
                      </m:rPr>
                      <a:rPr lang="en-US" b="0" i="0">
                        <a:solidFill>
                          <a:schemeClr val="tx2"/>
                        </a:solidFill>
                        <a:latin typeface="Cambria Math" panose="02040503050406030204" pitchFamily="18" charset="0"/>
                      </a:rPr>
                      <m:t>of</m:t>
                    </m:r>
                    <m:r>
                      <m:rPr>
                        <m:nor/>
                      </m:rPr>
                      <a:rPr lang="en-US" b="0" i="0">
                        <a:solidFill>
                          <a:schemeClr val="tx2"/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nor/>
                      </m:rPr>
                      <a:rPr lang="en-US" b="0" i="0">
                        <a:solidFill>
                          <a:schemeClr val="tx2"/>
                        </a:solidFill>
                        <a:latin typeface="Cambria Math" panose="02040503050406030204" pitchFamily="18" charset="0"/>
                      </a:rPr>
                      <m:t>observations</m:t>
                    </m:r>
                    <m:r>
                      <m:rPr>
                        <m:nor/>
                      </m:rPr>
                      <a:rPr lang="en-US" b="0" i="0">
                        <a:solidFill>
                          <a:schemeClr val="tx2"/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nor/>
                      </m:rPr>
                      <a:rPr lang="en-US" b="0" i="0">
                        <a:solidFill>
                          <a:schemeClr val="tx2"/>
                        </a:solidFill>
                        <a:latin typeface="Cambria Math" panose="02040503050406030204" pitchFamily="18" charset="0"/>
                      </a:rPr>
                      <m:t>in</m:t>
                    </m:r>
                    <m:r>
                      <m:rPr>
                        <m:nor/>
                      </m:rPr>
                      <a:rPr lang="en-US" b="0" i="0">
                        <a:solidFill>
                          <a:schemeClr val="tx2"/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nor/>
                      </m:rPr>
                      <a:rPr lang="en-US" b="0" i="0">
                        <a:solidFill>
                          <a:schemeClr val="tx2"/>
                        </a:solidFill>
                        <a:latin typeface="Cambria Math" panose="02040503050406030204" pitchFamily="18" charset="0"/>
                      </a:rPr>
                      <m:t>sample</m:t>
                    </m:r>
                    <m:r>
                      <m:rPr>
                        <m:nor/>
                      </m:rPr>
                      <a:rPr lang="en-US" b="0" i="0">
                        <a:solidFill>
                          <a:schemeClr val="tx2"/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b="0" i="1">
                        <a:solidFill>
                          <a:schemeClr val="tx2"/>
                        </a:solidFill>
                        <a:latin typeface="Cambria Math" panose="02040503050406030204" pitchFamily="18" charset="0"/>
                      </a:rPr>
                      <m:t>𝑖</m:t>
                    </m:r>
                  </m:oMath>
                </m:oMathPara>
              </a14:m>
              <a:endParaRPr lang="en-US">
                <a:solidFill>
                  <a:schemeClr val="tx2"/>
                </a:solidFill>
              </a:endParaRPr>
            </a:p>
          </xdr:txBody>
        </xdr:sp>
      </mc:Choice>
      <mc:Fallback xmlns="">
        <xdr:sp macro="" textlink="">
          <xdr:nvSpPr>
            <xdr:cNvPr id="4" name="TextBox 8">
              <a:extLst>
                <a:ext uri="{FF2B5EF4-FFF2-40B4-BE49-F238E27FC236}">
                  <a16:creationId xmlns:a16="http://schemas.microsoft.com/office/drawing/2014/main" id="{E2501850-BBC4-41ED-A273-C09011A7BF4C}"/>
                </a:ext>
              </a:extLst>
            </xdr:cNvPr>
            <xdr:cNvSpPr txBox="1"/>
          </xdr:nvSpPr>
          <xdr:spPr>
            <a:xfrm>
              <a:off x="9029700" y="2698150"/>
              <a:ext cx="4426083" cy="276999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n-US" b="0" i="0">
                  <a:solidFill>
                    <a:schemeClr val="tx2"/>
                  </a:solidFill>
                  <a:latin typeface="Cambria Math" panose="02040503050406030204" pitchFamily="18" charset="0"/>
                </a:rPr>
                <a:t>𝑛_𝑖="the number of observations in sample " 𝑖</a:t>
              </a:r>
              <a:endParaRPr lang="en-US">
                <a:solidFill>
                  <a:schemeClr val="tx2"/>
                </a:solidFill>
              </a:endParaRPr>
            </a:p>
          </xdr:txBody>
        </xdr:sp>
      </mc:Fallback>
    </mc:AlternateContent>
    <xdr:clientData/>
  </xdr:twoCellAnchor>
  <xdr:twoCellAnchor>
    <xdr:from>
      <xdr:col>11</xdr:col>
      <xdr:colOff>104775</xdr:colOff>
      <xdr:row>20</xdr:row>
      <xdr:rowOff>93601</xdr:rowOff>
    </xdr:from>
    <xdr:to>
      <xdr:col>21</xdr:col>
      <xdr:colOff>101277</xdr:colOff>
      <xdr:row>24</xdr:row>
      <xdr:rowOff>116175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9">
              <a:extLst>
                <a:ext uri="{FF2B5EF4-FFF2-40B4-BE49-F238E27FC236}">
                  <a16:creationId xmlns:a16="http://schemas.microsoft.com/office/drawing/2014/main" id="{179A4591-B336-4662-8240-ED5D86FE756B}"/>
                </a:ext>
              </a:extLst>
            </xdr:cNvPr>
            <xdr:cNvSpPr txBox="1"/>
          </xdr:nvSpPr>
          <xdr:spPr>
            <a:xfrm>
              <a:off x="9029700" y="3141601"/>
              <a:ext cx="6092502" cy="784574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i="1">
                            <a:solidFill>
                              <a:schemeClr val="tx2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b="0" i="1">
                            <a:solidFill>
                              <a:schemeClr val="tx2"/>
                            </a:solidFill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b="0" i="1">
                            <a:solidFill>
                              <a:schemeClr val="tx2"/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sub>
                    </m:sSub>
                    <m:r>
                      <a:rPr lang="en-US" b="0" i="1">
                        <a:solidFill>
                          <a:schemeClr val="tx2"/>
                        </a:solidFill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ctrlPr>
                          <a:rPr lang="en-US" b="0" i="1">
                            <a:solidFill>
                              <a:schemeClr val="tx2"/>
                            </a:solidFill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en-US" b="0" i="1">
                            <a:solidFill>
                              <a:schemeClr val="tx2"/>
                            </a:solidFill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b="0" i="1">
                            <a:solidFill>
                              <a:schemeClr val="tx2"/>
                            </a:solidFill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b="0" i="1">
                            <a:solidFill>
                              <a:schemeClr val="tx2"/>
                            </a:solidFill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  <m:e>
                        <m:sSub>
                          <m:sSubPr>
                            <m:ctrlPr>
                              <a:rPr lang="en-US" b="0" i="1">
                                <a:solidFill>
                                  <a:schemeClr val="tx2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b="0" i="1">
                                <a:solidFill>
                                  <a:schemeClr val="tx2"/>
                                </a:solidFill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b="0" i="1">
                                <a:solidFill>
                                  <a:schemeClr val="tx2"/>
                                </a:solidFill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nary>
                    <m:r>
                      <a:rPr lang="en-US" b="0" i="1">
                        <a:solidFill>
                          <a:schemeClr val="tx2"/>
                        </a:solidFill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nor/>
                      </m:rPr>
                      <a:rPr lang="en-US" b="0" i="0">
                        <a:solidFill>
                          <a:schemeClr val="tx2"/>
                        </a:solidFill>
                        <a:latin typeface="Cambria Math" panose="02040503050406030204" pitchFamily="18" charset="0"/>
                      </a:rPr>
                      <m:t>the</m:t>
                    </m:r>
                    <m:r>
                      <m:rPr>
                        <m:nor/>
                      </m:rPr>
                      <a:rPr lang="en-US" b="0" i="0">
                        <a:solidFill>
                          <a:schemeClr val="tx2"/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nor/>
                      </m:rPr>
                      <a:rPr lang="en-US" b="0" i="0">
                        <a:solidFill>
                          <a:schemeClr val="tx2"/>
                        </a:solidFill>
                        <a:latin typeface="Cambria Math" panose="02040503050406030204" pitchFamily="18" charset="0"/>
                      </a:rPr>
                      <m:t>total</m:t>
                    </m:r>
                    <m:r>
                      <m:rPr>
                        <m:nor/>
                      </m:rPr>
                      <a:rPr lang="en-US" b="0" i="0">
                        <a:solidFill>
                          <a:schemeClr val="tx2"/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nor/>
                      </m:rPr>
                      <a:rPr lang="en-US" b="0" i="0">
                        <a:solidFill>
                          <a:schemeClr val="tx2"/>
                        </a:solidFill>
                        <a:latin typeface="Cambria Math" panose="02040503050406030204" pitchFamily="18" charset="0"/>
                      </a:rPr>
                      <m:t>number</m:t>
                    </m:r>
                    <m:r>
                      <m:rPr>
                        <m:nor/>
                      </m:rPr>
                      <a:rPr lang="en-US" b="0" i="0">
                        <a:solidFill>
                          <a:schemeClr val="tx2"/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nor/>
                      </m:rPr>
                      <a:rPr lang="en-US" b="0" i="0">
                        <a:solidFill>
                          <a:schemeClr val="tx2"/>
                        </a:solidFill>
                        <a:latin typeface="Cambria Math" panose="02040503050406030204" pitchFamily="18" charset="0"/>
                      </a:rPr>
                      <m:t>of</m:t>
                    </m:r>
                    <m:r>
                      <m:rPr>
                        <m:nor/>
                      </m:rPr>
                      <a:rPr lang="en-US" b="0" i="0">
                        <a:solidFill>
                          <a:schemeClr val="tx2"/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nor/>
                      </m:rPr>
                      <a:rPr lang="en-US" b="0" i="0">
                        <a:solidFill>
                          <a:schemeClr val="tx2"/>
                        </a:solidFill>
                        <a:latin typeface="Cambria Math" panose="02040503050406030204" pitchFamily="18" charset="0"/>
                      </a:rPr>
                      <m:t>observations</m:t>
                    </m:r>
                    <m:r>
                      <m:rPr>
                        <m:nor/>
                      </m:rPr>
                      <a:rPr lang="en-US" b="0" i="0">
                        <a:solidFill>
                          <a:schemeClr val="tx2"/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nor/>
                      </m:rPr>
                      <a:rPr lang="en-US" b="0" i="0">
                        <a:solidFill>
                          <a:schemeClr val="tx2"/>
                        </a:solidFill>
                        <a:latin typeface="Cambria Math" panose="02040503050406030204" pitchFamily="18" charset="0"/>
                      </a:rPr>
                      <m:t>in</m:t>
                    </m:r>
                    <m:r>
                      <m:rPr>
                        <m:nor/>
                      </m:rPr>
                      <a:rPr lang="en-US" b="0" i="0">
                        <a:solidFill>
                          <a:schemeClr val="tx2"/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nor/>
                      </m:rPr>
                      <a:rPr lang="en-US" b="0" i="0">
                        <a:solidFill>
                          <a:schemeClr val="tx2"/>
                        </a:solidFill>
                        <a:latin typeface="Cambria Math" panose="02040503050406030204" pitchFamily="18" charset="0"/>
                      </a:rPr>
                      <m:t>all</m:t>
                    </m:r>
                    <m:r>
                      <m:rPr>
                        <m:nor/>
                      </m:rPr>
                      <a:rPr lang="en-US" b="0" i="0">
                        <a:solidFill>
                          <a:schemeClr val="tx2"/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nor/>
                      </m:rPr>
                      <a:rPr lang="en-US" b="0" i="0">
                        <a:solidFill>
                          <a:schemeClr val="tx2"/>
                        </a:solidFill>
                        <a:latin typeface="Cambria Math" panose="02040503050406030204" pitchFamily="18" charset="0"/>
                      </a:rPr>
                      <m:t>samples</m:t>
                    </m:r>
                  </m:oMath>
                </m:oMathPara>
              </a14:m>
              <a:endParaRPr lang="en-US">
                <a:solidFill>
                  <a:schemeClr val="tx2"/>
                </a:solidFill>
              </a:endParaRPr>
            </a:p>
          </xdr:txBody>
        </xdr:sp>
      </mc:Choice>
      <mc:Fallback xmlns="">
        <xdr:sp macro="" textlink="">
          <xdr:nvSpPr>
            <xdr:cNvPr id="5" name="TextBox 9">
              <a:extLst>
                <a:ext uri="{FF2B5EF4-FFF2-40B4-BE49-F238E27FC236}">
                  <a16:creationId xmlns:a16="http://schemas.microsoft.com/office/drawing/2014/main" id="{179A4591-B336-4662-8240-ED5D86FE756B}"/>
                </a:ext>
              </a:extLst>
            </xdr:cNvPr>
            <xdr:cNvSpPr txBox="1"/>
          </xdr:nvSpPr>
          <xdr:spPr>
            <a:xfrm>
              <a:off x="9029700" y="3141601"/>
              <a:ext cx="6092502" cy="784574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n-US" b="0" i="0">
                  <a:solidFill>
                    <a:schemeClr val="tx2"/>
                  </a:solidFill>
                  <a:latin typeface="Cambria Math" panose="02040503050406030204" pitchFamily="18" charset="0"/>
                </a:rPr>
                <a:t>𝑛_𝑇=∑_(𝑖=1)^𝑘▒𝑛_𝑖 ="the total number of observations in all samples</a:t>
              </a:r>
              <a:r>
                <a:rPr lang="es-GT" b="0" i="0">
                  <a:solidFill>
                    <a:schemeClr val="tx2"/>
                  </a:solidFill>
                  <a:latin typeface="Cambria Math" panose="02040503050406030204" pitchFamily="18" charset="0"/>
                </a:rPr>
                <a:t>"</a:t>
              </a:r>
              <a:endParaRPr lang="en-US">
                <a:solidFill>
                  <a:schemeClr val="tx2"/>
                </a:solidFill>
              </a:endParaRPr>
            </a:p>
          </xdr:txBody>
        </xdr:sp>
      </mc:Fallback>
    </mc:AlternateContent>
    <xdr:clientData/>
  </xdr:twoCellAnchor>
  <xdr:twoCellAnchor>
    <xdr:from>
      <xdr:col>11</xdr:col>
      <xdr:colOff>104775</xdr:colOff>
      <xdr:row>25</xdr:row>
      <xdr:rowOff>92127</xdr:rowOff>
    </xdr:from>
    <xdr:to>
      <xdr:col>17</xdr:col>
      <xdr:colOff>264951</xdr:colOff>
      <xdr:row>26</xdr:row>
      <xdr:rowOff>178626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10">
              <a:extLst>
                <a:ext uri="{FF2B5EF4-FFF2-40B4-BE49-F238E27FC236}">
                  <a16:creationId xmlns:a16="http://schemas.microsoft.com/office/drawing/2014/main" id="{D0840C3B-398F-41DA-B6D0-96A00222B64B}"/>
                </a:ext>
              </a:extLst>
            </xdr:cNvPr>
            <xdr:cNvSpPr txBox="1"/>
          </xdr:nvSpPr>
          <xdr:spPr>
            <a:xfrm>
              <a:off x="9029700" y="4092627"/>
              <a:ext cx="3817776" cy="276999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i="1">
                            <a:solidFill>
                              <a:schemeClr val="tx2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b="0" i="1">
                            <a:solidFill>
                              <a:schemeClr val="tx2"/>
                            </a:solidFill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en-US" b="0" i="1">
                            <a:solidFill>
                              <a:schemeClr val="tx2"/>
                            </a:solidFill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b="0" i="1">
                        <a:solidFill>
                          <a:schemeClr val="tx2"/>
                        </a:solidFill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nor/>
                      </m:rPr>
                      <a:rPr lang="en-US" b="0" i="0">
                        <a:solidFill>
                          <a:schemeClr val="tx2"/>
                        </a:solidFill>
                        <a:latin typeface="Cambria Math" panose="02040503050406030204" pitchFamily="18" charset="0"/>
                      </a:rPr>
                      <m:t>the</m:t>
                    </m:r>
                    <m:r>
                      <m:rPr>
                        <m:nor/>
                      </m:rPr>
                      <a:rPr lang="en-US" b="0" i="0">
                        <a:solidFill>
                          <a:schemeClr val="tx2"/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nor/>
                      </m:rPr>
                      <a:rPr lang="en-US" b="0" i="0">
                        <a:solidFill>
                          <a:schemeClr val="tx2"/>
                        </a:solidFill>
                        <a:latin typeface="Cambria Math" panose="02040503050406030204" pitchFamily="18" charset="0"/>
                      </a:rPr>
                      <m:t>sum</m:t>
                    </m:r>
                    <m:r>
                      <m:rPr>
                        <m:nor/>
                      </m:rPr>
                      <a:rPr lang="en-US" b="0" i="0">
                        <a:solidFill>
                          <a:schemeClr val="tx2"/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nor/>
                      </m:rPr>
                      <a:rPr lang="en-US" b="0" i="0">
                        <a:solidFill>
                          <a:schemeClr val="tx2"/>
                        </a:solidFill>
                        <a:latin typeface="Cambria Math" panose="02040503050406030204" pitchFamily="18" charset="0"/>
                      </a:rPr>
                      <m:t>of</m:t>
                    </m:r>
                    <m:r>
                      <m:rPr>
                        <m:nor/>
                      </m:rPr>
                      <a:rPr lang="en-US" b="0" i="0">
                        <a:solidFill>
                          <a:schemeClr val="tx2"/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nor/>
                      </m:rPr>
                      <a:rPr lang="en-US" b="0" i="0">
                        <a:solidFill>
                          <a:schemeClr val="tx2"/>
                        </a:solidFill>
                        <a:latin typeface="Cambria Math" panose="02040503050406030204" pitchFamily="18" charset="0"/>
                      </a:rPr>
                      <m:t>the</m:t>
                    </m:r>
                    <m:r>
                      <m:rPr>
                        <m:nor/>
                      </m:rPr>
                      <a:rPr lang="en-US" b="0" i="0">
                        <a:solidFill>
                          <a:schemeClr val="tx2"/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nor/>
                      </m:rPr>
                      <a:rPr lang="en-US" b="0" i="0">
                        <a:solidFill>
                          <a:schemeClr val="tx2"/>
                        </a:solidFill>
                        <a:latin typeface="Cambria Math" panose="02040503050406030204" pitchFamily="18" charset="0"/>
                      </a:rPr>
                      <m:t>ranks</m:t>
                    </m:r>
                    <m:r>
                      <m:rPr>
                        <m:nor/>
                      </m:rPr>
                      <a:rPr lang="en-US" b="0" i="0">
                        <a:solidFill>
                          <a:schemeClr val="tx2"/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nor/>
                      </m:rPr>
                      <a:rPr lang="en-US" b="0" i="0">
                        <a:solidFill>
                          <a:schemeClr val="tx2"/>
                        </a:solidFill>
                        <a:latin typeface="Cambria Math" panose="02040503050406030204" pitchFamily="18" charset="0"/>
                      </a:rPr>
                      <m:t>for</m:t>
                    </m:r>
                    <m:r>
                      <m:rPr>
                        <m:nor/>
                      </m:rPr>
                      <a:rPr lang="en-US" b="0" i="0">
                        <a:solidFill>
                          <a:schemeClr val="tx2"/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nor/>
                      </m:rPr>
                      <a:rPr lang="en-US" b="0" i="0">
                        <a:solidFill>
                          <a:schemeClr val="tx2"/>
                        </a:solidFill>
                        <a:latin typeface="Cambria Math" panose="02040503050406030204" pitchFamily="18" charset="0"/>
                      </a:rPr>
                      <m:t>sample</m:t>
                    </m:r>
                    <m:r>
                      <m:rPr>
                        <m:nor/>
                      </m:rPr>
                      <a:rPr lang="en-US" b="0" i="0">
                        <a:solidFill>
                          <a:schemeClr val="tx2"/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b="0" i="1">
                        <a:solidFill>
                          <a:schemeClr val="tx2"/>
                        </a:solidFill>
                        <a:latin typeface="Cambria Math" panose="02040503050406030204" pitchFamily="18" charset="0"/>
                      </a:rPr>
                      <m:t>𝑖</m:t>
                    </m:r>
                  </m:oMath>
                </m:oMathPara>
              </a14:m>
              <a:endParaRPr lang="en-US">
                <a:solidFill>
                  <a:schemeClr val="tx2"/>
                </a:solidFill>
              </a:endParaRPr>
            </a:p>
          </xdr:txBody>
        </xdr:sp>
      </mc:Choice>
      <mc:Fallback xmlns="">
        <xdr:sp macro="" textlink="">
          <xdr:nvSpPr>
            <xdr:cNvPr id="6" name="TextBox 10">
              <a:extLst>
                <a:ext uri="{FF2B5EF4-FFF2-40B4-BE49-F238E27FC236}">
                  <a16:creationId xmlns:a16="http://schemas.microsoft.com/office/drawing/2014/main" id="{D0840C3B-398F-41DA-B6D0-96A00222B64B}"/>
                </a:ext>
              </a:extLst>
            </xdr:cNvPr>
            <xdr:cNvSpPr txBox="1"/>
          </xdr:nvSpPr>
          <xdr:spPr>
            <a:xfrm>
              <a:off x="9029700" y="4092627"/>
              <a:ext cx="3817776" cy="276999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n-US" b="0" i="0">
                  <a:solidFill>
                    <a:schemeClr val="tx2"/>
                  </a:solidFill>
                  <a:latin typeface="Cambria Math" panose="02040503050406030204" pitchFamily="18" charset="0"/>
                </a:rPr>
                <a:t>𝑅_𝑖="the sum of the ranks for sample " 𝑖</a:t>
              </a:r>
              <a:endParaRPr lang="en-US">
                <a:solidFill>
                  <a:schemeClr val="tx2"/>
                </a:solidFill>
              </a:endParaRP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VID CORZO" refreshedDate="44134.661194560184" createdVersion="6" refreshedVersion="6" minRefreshableVersion="3" recordCount="45" xr:uid="{62997BBF-CCBF-4CFE-9144-E7D5E5C35556}">
  <cacheSource type="worksheet">
    <worksheetSource ref="E1:G46" sheet="Sheet1"/>
  </cacheSource>
  <cacheFields count="3">
    <cacheField name="STORE" numFmtId="0">
      <sharedItems count="3">
        <s v="Churchgate (C)"/>
        <s v="Nariman Point (N)"/>
        <s v="Taj Mahal Palace (T) "/>
      </sharedItems>
    </cacheField>
    <cacheField name="RATING" numFmtId="0">
      <sharedItems containsSemiMixedTypes="0" containsString="0" containsNumber="1" containsInteger="1" minValue="11" maxValue="23"/>
    </cacheField>
    <cacheField name="RANK" numFmtId="0">
      <sharedItems containsSemiMixedTypes="0" containsString="0" containsNumber="1" minValue="1.5" maxValue="4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x v="0"/>
    <n v="20"/>
    <n v="38.5"/>
  </r>
  <r>
    <x v="0"/>
    <n v="17"/>
    <n v="27"/>
  </r>
  <r>
    <x v="0"/>
    <n v="16"/>
    <n v="18.5"/>
  </r>
  <r>
    <x v="0"/>
    <n v="15"/>
    <n v="12.5"/>
  </r>
  <r>
    <x v="0"/>
    <n v="13"/>
    <n v="5.5"/>
  </r>
  <r>
    <x v="0"/>
    <n v="20"/>
    <n v="38.5"/>
  </r>
  <r>
    <x v="0"/>
    <n v="12"/>
    <n v="3"/>
  </r>
  <r>
    <x v="0"/>
    <n v="18"/>
    <n v="33.5"/>
  </r>
  <r>
    <x v="0"/>
    <n v="14"/>
    <n v="9"/>
  </r>
  <r>
    <x v="0"/>
    <n v="13"/>
    <n v="5.5"/>
  </r>
  <r>
    <x v="0"/>
    <n v="15"/>
    <n v="12.5"/>
  </r>
  <r>
    <x v="0"/>
    <n v="17"/>
    <n v="27"/>
  </r>
  <r>
    <x v="0"/>
    <n v="20"/>
    <n v="38.5"/>
  </r>
  <r>
    <x v="0"/>
    <n v="17"/>
    <n v="27"/>
  </r>
  <r>
    <x v="0"/>
    <n v="17"/>
    <n v="27"/>
  </r>
  <r>
    <x v="1"/>
    <n v="11"/>
    <n v="1.5"/>
  </r>
  <r>
    <x v="1"/>
    <n v="14"/>
    <n v="9"/>
  </r>
  <r>
    <x v="1"/>
    <n v="13"/>
    <n v="5.5"/>
  </r>
  <r>
    <x v="1"/>
    <n v="13"/>
    <n v="5.5"/>
  </r>
  <r>
    <x v="1"/>
    <n v="17"/>
    <n v="27"/>
  </r>
  <r>
    <x v="1"/>
    <n v="16"/>
    <n v="18.5"/>
  </r>
  <r>
    <x v="1"/>
    <n v="18"/>
    <n v="33.5"/>
  </r>
  <r>
    <x v="1"/>
    <n v="16"/>
    <n v="18.5"/>
  </r>
  <r>
    <x v="1"/>
    <n v="11"/>
    <n v="1.5"/>
  </r>
  <r>
    <x v="1"/>
    <n v="18"/>
    <n v="33.5"/>
  </r>
  <r>
    <x v="1"/>
    <n v="14"/>
    <n v="9"/>
  </r>
  <r>
    <x v="1"/>
    <n v="16"/>
    <n v="18.5"/>
  </r>
  <r>
    <x v="1"/>
    <n v="18"/>
    <n v="33.5"/>
  </r>
  <r>
    <x v="1"/>
    <n v="16"/>
    <n v="18.5"/>
  </r>
  <r>
    <x v="1"/>
    <n v="16"/>
    <n v="18.5"/>
  </r>
  <r>
    <x v="2"/>
    <n v="17"/>
    <n v="27"/>
  </r>
  <r>
    <x v="2"/>
    <n v="23"/>
    <n v="44"/>
  </r>
  <r>
    <x v="2"/>
    <n v="15"/>
    <n v="12.5"/>
  </r>
  <r>
    <x v="2"/>
    <n v="15"/>
    <n v="12.5"/>
  </r>
  <r>
    <x v="2"/>
    <n v="16"/>
    <n v="18.5"/>
  </r>
  <r>
    <x v="2"/>
    <n v="16"/>
    <n v="18.5"/>
  </r>
  <r>
    <x v="2"/>
    <n v="19"/>
    <n v="36"/>
  </r>
  <r>
    <x v="2"/>
    <n v="17"/>
    <n v="27"/>
  </r>
  <r>
    <x v="2"/>
    <n v="23"/>
    <n v="44"/>
  </r>
  <r>
    <x v="2"/>
    <n v="22"/>
    <n v="42"/>
  </r>
  <r>
    <x v="2"/>
    <n v="17"/>
    <n v="27"/>
  </r>
  <r>
    <x v="2"/>
    <n v="17"/>
    <n v="27"/>
  </r>
  <r>
    <x v="2"/>
    <n v="20"/>
    <n v="38.5"/>
  </r>
  <r>
    <x v="2"/>
    <n v="23"/>
    <n v="44"/>
  </r>
  <r>
    <x v="2"/>
    <n v="21"/>
    <n v="4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2C150F-F6C2-4A56-A045-E968E4E07282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K1:L5" firstHeaderRow="1" firstDataRow="1" firstDataCol="1"/>
  <pivotFields count="3">
    <pivotField axis="axisRow" showAll="0">
      <items count="4">
        <item x="0"/>
        <item x="1"/>
        <item x="2"/>
        <item t="default"/>
      </items>
    </pivotField>
    <pivotField showAll="0"/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ANK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42D0E-98F2-41FA-925C-2FADBB6BB91E}">
  <dimension ref="A1:V47"/>
  <sheetViews>
    <sheetView tabSelected="1" topLeftCell="F1" zoomScale="90" zoomScaleNormal="115" workbookViewId="0">
      <selection activeCell="J10" sqref="J10"/>
    </sheetView>
  </sheetViews>
  <sheetFormatPr defaultRowHeight="15" x14ac:dyDescent="0.25"/>
  <cols>
    <col min="1" max="1" width="13.42578125" bestFit="1" customWidth="1"/>
    <col min="2" max="2" width="17.28515625" bestFit="1" customWidth="1"/>
    <col min="3" max="3" width="19.140625" bestFit="1" customWidth="1"/>
    <col min="4" max="4" width="2.85546875" customWidth="1"/>
    <col min="5" max="5" width="19.140625" bestFit="1" customWidth="1"/>
    <col min="8" max="8" width="2.85546875" customWidth="1"/>
    <col min="9" max="9" width="15.5703125" bestFit="1" customWidth="1"/>
    <col min="10" max="10" width="18" bestFit="1" customWidth="1"/>
    <col min="11" max="11" width="19.140625" bestFit="1" customWidth="1"/>
    <col min="12" max="12" width="12.5703125" bestFit="1" customWidth="1"/>
  </cols>
  <sheetData>
    <row r="1" spans="1:22" x14ac:dyDescent="0.25">
      <c r="A1" t="s">
        <v>23</v>
      </c>
      <c r="B1" t="s">
        <v>0</v>
      </c>
      <c r="C1" t="s">
        <v>1</v>
      </c>
      <c r="E1" t="s">
        <v>2</v>
      </c>
      <c r="F1" t="s">
        <v>3</v>
      </c>
      <c r="G1" t="s">
        <v>4</v>
      </c>
      <c r="K1" s="6" t="s">
        <v>24</v>
      </c>
      <c r="L1" t="s">
        <v>26</v>
      </c>
    </row>
    <row r="2" spans="1:22" x14ac:dyDescent="0.25">
      <c r="A2">
        <v>20</v>
      </c>
      <c r="B2">
        <v>11</v>
      </c>
      <c r="C2">
        <v>17</v>
      </c>
      <c r="E2" t="s">
        <v>23</v>
      </c>
      <c r="F2">
        <f>A2</f>
        <v>20</v>
      </c>
      <c r="G2">
        <f>_xlfn.RANK.AVG(F2,$F$2:$F$46,1)</f>
        <v>38.5</v>
      </c>
      <c r="K2" s="1" t="s">
        <v>23</v>
      </c>
      <c r="L2" s="7">
        <v>323.5</v>
      </c>
    </row>
    <row r="3" spans="1:22" x14ac:dyDescent="0.25">
      <c r="A3">
        <v>17</v>
      </c>
      <c r="B3">
        <v>14</v>
      </c>
      <c r="C3">
        <v>23</v>
      </c>
      <c r="E3" t="s">
        <v>23</v>
      </c>
      <c r="F3">
        <f t="shared" ref="F3:F16" si="0">A3</f>
        <v>17</v>
      </c>
      <c r="G3">
        <f t="shared" ref="G3:G46" si="1">_xlfn.RANK.AVG(F3,$F$2:$F$46,1)</f>
        <v>27</v>
      </c>
      <c r="K3" s="1" t="s">
        <v>0</v>
      </c>
      <c r="L3" s="7">
        <v>252</v>
      </c>
    </row>
    <row r="4" spans="1:22" x14ac:dyDescent="0.25">
      <c r="A4">
        <v>16</v>
      </c>
      <c r="B4">
        <v>13</v>
      </c>
      <c r="C4">
        <v>15</v>
      </c>
      <c r="E4" t="s">
        <v>23</v>
      </c>
      <c r="F4">
        <f t="shared" si="0"/>
        <v>16</v>
      </c>
      <c r="G4">
        <f t="shared" si="1"/>
        <v>18.5</v>
      </c>
      <c r="K4" s="1" t="s">
        <v>1</v>
      </c>
      <c r="L4" s="7">
        <v>459.5</v>
      </c>
    </row>
    <row r="5" spans="1:22" x14ac:dyDescent="0.25">
      <c r="A5">
        <v>15</v>
      </c>
      <c r="B5">
        <v>13</v>
      </c>
      <c r="C5">
        <v>15</v>
      </c>
      <c r="E5" t="s">
        <v>23</v>
      </c>
      <c r="F5">
        <f t="shared" si="0"/>
        <v>15</v>
      </c>
      <c r="G5">
        <f t="shared" si="1"/>
        <v>12.5</v>
      </c>
      <c r="K5" s="1" t="s">
        <v>25</v>
      </c>
      <c r="L5" s="7">
        <v>1035</v>
      </c>
    </row>
    <row r="6" spans="1:22" x14ac:dyDescent="0.25">
      <c r="A6">
        <v>13</v>
      </c>
      <c r="B6">
        <v>17</v>
      </c>
      <c r="C6">
        <v>16</v>
      </c>
      <c r="E6" t="s">
        <v>23</v>
      </c>
      <c r="F6">
        <f t="shared" si="0"/>
        <v>13</v>
      </c>
      <c r="G6">
        <f t="shared" si="1"/>
        <v>5.5</v>
      </c>
    </row>
    <row r="7" spans="1:22" x14ac:dyDescent="0.25">
      <c r="A7">
        <v>20</v>
      </c>
      <c r="B7">
        <v>16</v>
      </c>
      <c r="C7">
        <v>16</v>
      </c>
      <c r="E7" t="s">
        <v>23</v>
      </c>
      <c r="F7">
        <f t="shared" si="0"/>
        <v>20</v>
      </c>
      <c r="G7">
        <f t="shared" si="1"/>
        <v>38.5</v>
      </c>
      <c r="I7" s="1" t="s">
        <v>5</v>
      </c>
      <c r="J7">
        <f>COUNT(L2:L4)</f>
        <v>3</v>
      </c>
    </row>
    <row r="8" spans="1:22" x14ac:dyDescent="0.25">
      <c r="A8">
        <v>12</v>
      </c>
      <c r="B8">
        <v>18</v>
      </c>
      <c r="C8">
        <v>19</v>
      </c>
      <c r="E8" t="s">
        <v>23</v>
      </c>
      <c r="F8">
        <f t="shared" si="0"/>
        <v>12</v>
      </c>
      <c r="G8">
        <f t="shared" si="1"/>
        <v>3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</row>
    <row r="9" spans="1:22" x14ac:dyDescent="0.25">
      <c r="A9">
        <v>18</v>
      </c>
      <c r="B9">
        <v>16</v>
      </c>
      <c r="C9">
        <v>17</v>
      </c>
      <c r="E9" t="s">
        <v>23</v>
      </c>
      <c r="F9">
        <f t="shared" si="0"/>
        <v>18</v>
      </c>
      <c r="G9">
        <f t="shared" si="1"/>
        <v>33.5</v>
      </c>
      <c r="I9" s="1" t="s">
        <v>6</v>
      </c>
      <c r="J9">
        <f>COUNT(A:A)</f>
        <v>15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x14ac:dyDescent="0.25">
      <c r="A10">
        <v>14</v>
      </c>
      <c r="B10">
        <v>11</v>
      </c>
      <c r="C10">
        <v>23</v>
      </c>
      <c r="E10" t="s">
        <v>23</v>
      </c>
      <c r="F10">
        <f t="shared" si="0"/>
        <v>14</v>
      </c>
      <c r="G10">
        <f t="shared" si="1"/>
        <v>9</v>
      </c>
      <c r="I10" s="1" t="s">
        <v>7</v>
      </c>
      <c r="J10">
        <f>COUNT(B:B)</f>
        <v>15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x14ac:dyDescent="0.25">
      <c r="A11">
        <v>13</v>
      </c>
      <c r="B11">
        <v>18</v>
      </c>
      <c r="C11">
        <v>22</v>
      </c>
      <c r="E11" t="s">
        <v>23</v>
      </c>
      <c r="F11">
        <f t="shared" si="0"/>
        <v>13</v>
      </c>
      <c r="G11">
        <f t="shared" si="1"/>
        <v>5.5</v>
      </c>
      <c r="I11" s="1" t="s">
        <v>8</v>
      </c>
      <c r="J11">
        <f>COUNT(C:C)</f>
        <v>15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x14ac:dyDescent="0.25">
      <c r="A12">
        <v>15</v>
      </c>
      <c r="B12">
        <v>14</v>
      </c>
      <c r="C12">
        <v>17</v>
      </c>
      <c r="E12" t="s">
        <v>23</v>
      </c>
      <c r="F12">
        <f t="shared" si="0"/>
        <v>15</v>
      </c>
      <c r="G12">
        <f t="shared" si="1"/>
        <v>12.5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x14ac:dyDescent="0.25">
      <c r="A13">
        <v>17</v>
      </c>
      <c r="B13">
        <v>16</v>
      </c>
      <c r="C13">
        <v>17</v>
      </c>
      <c r="E13" t="s">
        <v>23</v>
      </c>
      <c r="F13">
        <f t="shared" si="0"/>
        <v>17</v>
      </c>
      <c r="G13">
        <f t="shared" si="1"/>
        <v>27</v>
      </c>
      <c r="I13" s="1" t="s">
        <v>9</v>
      </c>
      <c r="J13">
        <f>COUNT(A:C)</f>
        <v>45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x14ac:dyDescent="0.25">
      <c r="A14">
        <v>20</v>
      </c>
      <c r="B14">
        <v>18</v>
      </c>
      <c r="C14">
        <v>20</v>
      </c>
      <c r="E14" t="s">
        <v>23</v>
      </c>
      <c r="F14">
        <f t="shared" si="0"/>
        <v>20</v>
      </c>
      <c r="G14">
        <f t="shared" si="1"/>
        <v>38.5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x14ac:dyDescent="0.25">
      <c r="A15">
        <v>17</v>
      </c>
      <c r="B15">
        <v>16</v>
      </c>
      <c r="C15">
        <v>23</v>
      </c>
      <c r="E15" t="s">
        <v>23</v>
      </c>
      <c r="F15">
        <f t="shared" si="0"/>
        <v>17</v>
      </c>
      <c r="G15">
        <f t="shared" si="1"/>
        <v>27</v>
      </c>
      <c r="I15" s="2" t="s">
        <v>16</v>
      </c>
      <c r="J15">
        <f xml:space="preserve"> (12) / (J13*(J13+1))</f>
        <v>5.7971014492753624E-3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x14ac:dyDescent="0.25">
      <c r="A16">
        <v>17</v>
      </c>
      <c r="B16">
        <v>16</v>
      </c>
      <c r="C16">
        <v>21</v>
      </c>
      <c r="E16" t="s">
        <v>23</v>
      </c>
      <c r="F16">
        <f t="shared" si="0"/>
        <v>17</v>
      </c>
      <c r="G16">
        <f t="shared" si="1"/>
        <v>27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spans="5:22" x14ac:dyDescent="0.25">
      <c r="E17" t="s">
        <v>0</v>
      </c>
      <c r="F17">
        <f>B2</f>
        <v>11</v>
      </c>
      <c r="G17">
        <f t="shared" si="1"/>
        <v>1.5</v>
      </c>
      <c r="I17" s="3" t="s">
        <v>17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spans="5:22" x14ac:dyDescent="0.25">
      <c r="E18" t="s">
        <v>0</v>
      </c>
      <c r="F18">
        <f t="shared" ref="F18:F31" si="2">B3</f>
        <v>14</v>
      </c>
      <c r="G18">
        <f t="shared" si="1"/>
        <v>9</v>
      </c>
      <c r="I18" s="1" t="s">
        <v>10</v>
      </c>
      <c r="J18">
        <f>GETPIVOTDATA("RANK",$K$1,"STORE","Churchgate (C)")^2</f>
        <v>104652.25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</row>
    <row r="19" spans="5:22" x14ac:dyDescent="0.25">
      <c r="E19" t="s">
        <v>0</v>
      </c>
      <c r="F19">
        <f t="shared" si="2"/>
        <v>13</v>
      </c>
      <c r="G19">
        <f t="shared" si="1"/>
        <v>5.5</v>
      </c>
      <c r="I19" s="1" t="s">
        <v>11</v>
      </c>
      <c r="J19">
        <f>GETPIVOTDATA("RANK",$K$1,"STORE","Nariman Point (N)")^2</f>
        <v>63504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</row>
    <row r="20" spans="5:22" x14ac:dyDescent="0.25">
      <c r="E20" t="s">
        <v>0</v>
      </c>
      <c r="F20">
        <f t="shared" si="2"/>
        <v>13</v>
      </c>
      <c r="G20">
        <f t="shared" si="1"/>
        <v>5.5</v>
      </c>
      <c r="I20" s="1" t="s">
        <v>12</v>
      </c>
      <c r="J20">
        <f>GETPIVOTDATA("RANK",$K$1,"STORE","Taj Mahal Palace (T) ")^2</f>
        <v>211140.25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</row>
    <row r="21" spans="5:22" x14ac:dyDescent="0.25">
      <c r="E21" t="s">
        <v>0</v>
      </c>
      <c r="F21">
        <f t="shared" si="2"/>
        <v>17</v>
      </c>
      <c r="G21">
        <f t="shared" si="1"/>
        <v>27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</row>
    <row r="22" spans="5:22" x14ac:dyDescent="0.25">
      <c r="E22" t="s">
        <v>0</v>
      </c>
      <c r="F22">
        <f t="shared" si="2"/>
        <v>16</v>
      </c>
      <c r="G22">
        <f t="shared" si="1"/>
        <v>18.5</v>
      </c>
      <c r="I22" s="1" t="s">
        <v>13</v>
      </c>
      <c r="J22">
        <f>J18/J9</f>
        <v>6976.8166666666666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spans="5:22" x14ac:dyDescent="0.25">
      <c r="E23" t="s">
        <v>0</v>
      </c>
      <c r="F23">
        <f t="shared" si="2"/>
        <v>18</v>
      </c>
      <c r="G23">
        <f t="shared" si="1"/>
        <v>33.5</v>
      </c>
      <c r="I23" s="1" t="s">
        <v>14</v>
      </c>
      <c r="J23">
        <f>J19/J10</f>
        <v>4233.6000000000004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spans="5:22" x14ac:dyDescent="0.25">
      <c r="E24" t="s">
        <v>0</v>
      </c>
      <c r="F24">
        <f t="shared" si="2"/>
        <v>16</v>
      </c>
      <c r="G24">
        <f t="shared" si="1"/>
        <v>18.5</v>
      </c>
      <c r="I24" s="1" t="s">
        <v>15</v>
      </c>
      <c r="J24">
        <f>J20/J11</f>
        <v>14076.016666666666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</row>
    <row r="25" spans="5:22" x14ac:dyDescent="0.25">
      <c r="E25" t="s">
        <v>0</v>
      </c>
      <c r="F25">
        <f t="shared" si="2"/>
        <v>11</v>
      </c>
      <c r="G25">
        <f t="shared" si="1"/>
        <v>1.5</v>
      </c>
      <c r="J25" s="8">
        <f>SUM(J22:J24)</f>
        <v>25286.433333333334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</row>
    <row r="26" spans="5:22" x14ac:dyDescent="0.25">
      <c r="E26" t="s">
        <v>0</v>
      </c>
      <c r="F26">
        <f t="shared" si="2"/>
        <v>18</v>
      </c>
      <c r="G26">
        <f t="shared" si="1"/>
        <v>33.5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</row>
    <row r="27" spans="5:22" x14ac:dyDescent="0.25">
      <c r="E27" t="s">
        <v>0</v>
      </c>
      <c r="F27">
        <f t="shared" si="2"/>
        <v>14</v>
      </c>
      <c r="G27">
        <f t="shared" si="1"/>
        <v>9</v>
      </c>
      <c r="I27" s="4" t="s">
        <v>18</v>
      </c>
      <c r="J27">
        <f>3*(J13+1)</f>
        <v>138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</row>
    <row r="28" spans="5:22" x14ac:dyDescent="0.25">
      <c r="E28" t="s">
        <v>0</v>
      </c>
      <c r="F28">
        <f t="shared" si="2"/>
        <v>16</v>
      </c>
      <c r="G28">
        <f t="shared" si="1"/>
        <v>18.5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</row>
    <row r="29" spans="5:22" x14ac:dyDescent="0.25">
      <c r="E29" t="s">
        <v>0</v>
      </c>
      <c r="F29">
        <f t="shared" si="2"/>
        <v>18</v>
      </c>
      <c r="G29">
        <f t="shared" si="1"/>
        <v>33.5</v>
      </c>
      <c r="I29" s="1" t="s">
        <v>19</v>
      </c>
      <c r="J29">
        <f>J15*J25-J27</f>
        <v>8.5880193236715172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</row>
    <row r="30" spans="5:22" x14ac:dyDescent="0.25">
      <c r="E30" t="s">
        <v>0</v>
      </c>
      <c r="F30">
        <f t="shared" si="2"/>
        <v>16</v>
      </c>
      <c r="G30">
        <f t="shared" si="1"/>
        <v>18.5</v>
      </c>
      <c r="I30" t="s">
        <v>27</v>
      </c>
      <c r="J30">
        <f>0.05</f>
        <v>0.05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spans="5:22" x14ac:dyDescent="0.25">
      <c r="E31" t="s">
        <v>0</v>
      </c>
      <c r="F31">
        <f t="shared" si="2"/>
        <v>16</v>
      </c>
      <c r="G31">
        <f t="shared" si="1"/>
        <v>18.5</v>
      </c>
      <c r="I31" t="s">
        <v>21</v>
      </c>
      <c r="J31">
        <f>_xlfn.CHISQ.INV(J30,J7-1)</f>
        <v>0.10258658877510107</v>
      </c>
      <c r="K31">
        <f>_xlfn.CHISQ.INV(1-J30,J7-1)</f>
        <v>5.9914645471079799</v>
      </c>
    </row>
    <row r="32" spans="5:22" x14ac:dyDescent="0.25">
      <c r="E32" t="s">
        <v>1</v>
      </c>
      <c r="F32">
        <f>C2</f>
        <v>17</v>
      </c>
      <c r="G32">
        <f t="shared" si="1"/>
        <v>27</v>
      </c>
      <c r="I32" t="s">
        <v>20</v>
      </c>
      <c r="J32">
        <f>_xlfn.CHISQ.DIST.RT(J29,J7-1)</f>
        <v>1.3650083204038928E-2</v>
      </c>
    </row>
    <row r="33" spans="5:11" x14ac:dyDescent="0.25">
      <c r="E33" t="s">
        <v>1</v>
      </c>
      <c r="F33">
        <f t="shared" ref="F33:F46" si="3">C3</f>
        <v>23</v>
      </c>
      <c r="G33">
        <f t="shared" si="1"/>
        <v>44</v>
      </c>
    </row>
    <row r="34" spans="5:11" x14ac:dyDescent="0.25">
      <c r="E34" t="s">
        <v>1</v>
      </c>
      <c r="F34">
        <f t="shared" si="3"/>
        <v>15</v>
      </c>
      <c r="G34">
        <f t="shared" si="1"/>
        <v>12.5</v>
      </c>
      <c r="I34" t="s">
        <v>22</v>
      </c>
      <c r="J34" t="str">
        <f>IF(J31&lt;J29,"Reject null","Fail to reject")</f>
        <v>Reject null</v>
      </c>
      <c r="K34" t="str">
        <f>IF(J32&lt;J30,"Reject null","Fail to reject")</f>
        <v>Reject null</v>
      </c>
    </row>
    <row r="35" spans="5:11" x14ac:dyDescent="0.25">
      <c r="E35" t="s">
        <v>1</v>
      </c>
      <c r="F35">
        <f t="shared" si="3"/>
        <v>15</v>
      </c>
      <c r="G35">
        <f t="shared" si="1"/>
        <v>12.5</v>
      </c>
    </row>
    <row r="36" spans="5:11" x14ac:dyDescent="0.25">
      <c r="E36" t="s">
        <v>1</v>
      </c>
      <c r="F36">
        <f t="shared" si="3"/>
        <v>16</v>
      </c>
      <c r="G36">
        <f t="shared" si="1"/>
        <v>18.5</v>
      </c>
    </row>
    <row r="37" spans="5:11" x14ac:dyDescent="0.25">
      <c r="E37" t="s">
        <v>1</v>
      </c>
      <c r="F37">
        <f t="shared" si="3"/>
        <v>16</v>
      </c>
      <c r="G37">
        <f t="shared" si="1"/>
        <v>18.5</v>
      </c>
    </row>
    <row r="38" spans="5:11" x14ac:dyDescent="0.25">
      <c r="E38" t="s">
        <v>1</v>
      </c>
      <c r="F38">
        <f t="shared" si="3"/>
        <v>19</v>
      </c>
      <c r="G38">
        <f t="shared" si="1"/>
        <v>36</v>
      </c>
    </row>
    <row r="39" spans="5:11" x14ac:dyDescent="0.25">
      <c r="E39" t="s">
        <v>1</v>
      </c>
      <c r="F39">
        <f t="shared" si="3"/>
        <v>17</v>
      </c>
      <c r="G39">
        <f t="shared" si="1"/>
        <v>27</v>
      </c>
    </row>
    <row r="40" spans="5:11" x14ac:dyDescent="0.25">
      <c r="E40" t="s">
        <v>1</v>
      </c>
      <c r="F40">
        <f t="shared" si="3"/>
        <v>23</v>
      </c>
      <c r="G40">
        <f t="shared" si="1"/>
        <v>44</v>
      </c>
    </row>
    <row r="41" spans="5:11" x14ac:dyDescent="0.25">
      <c r="E41" t="s">
        <v>1</v>
      </c>
      <c r="F41">
        <f t="shared" si="3"/>
        <v>22</v>
      </c>
      <c r="G41">
        <f t="shared" si="1"/>
        <v>42</v>
      </c>
    </row>
    <row r="42" spans="5:11" x14ac:dyDescent="0.25">
      <c r="E42" t="s">
        <v>1</v>
      </c>
      <c r="F42">
        <f t="shared" si="3"/>
        <v>17</v>
      </c>
      <c r="G42">
        <f t="shared" si="1"/>
        <v>27</v>
      </c>
    </row>
    <row r="43" spans="5:11" x14ac:dyDescent="0.25">
      <c r="E43" t="s">
        <v>1</v>
      </c>
      <c r="F43">
        <f t="shared" si="3"/>
        <v>17</v>
      </c>
      <c r="G43">
        <f t="shared" si="1"/>
        <v>27</v>
      </c>
    </row>
    <row r="44" spans="5:11" x14ac:dyDescent="0.25">
      <c r="E44" t="s">
        <v>1</v>
      </c>
      <c r="F44">
        <f t="shared" si="3"/>
        <v>20</v>
      </c>
      <c r="G44">
        <f t="shared" si="1"/>
        <v>38.5</v>
      </c>
    </row>
    <row r="45" spans="5:11" x14ac:dyDescent="0.25">
      <c r="E45" t="s">
        <v>1</v>
      </c>
      <c r="F45">
        <f t="shared" si="3"/>
        <v>23</v>
      </c>
      <c r="G45">
        <f t="shared" si="1"/>
        <v>44</v>
      </c>
    </row>
    <row r="46" spans="5:11" x14ac:dyDescent="0.25">
      <c r="E46" t="s">
        <v>1</v>
      </c>
      <c r="F46">
        <f t="shared" si="3"/>
        <v>21</v>
      </c>
      <c r="G46">
        <f t="shared" si="1"/>
        <v>41</v>
      </c>
    </row>
    <row r="47" spans="5:11" x14ac:dyDescent="0.25">
      <c r="G47">
        <f>SUM(G2:G46)</f>
        <v>1035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DAVID CORZO</cp:lastModifiedBy>
  <dcterms:created xsi:type="dcterms:W3CDTF">2019-12-08T23:02:24Z</dcterms:created>
  <dcterms:modified xsi:type="dcterms:W3CDTF">2020-11-03T22:53:43Z</dcterms:modified>
</cp:coreProperties>
</file>